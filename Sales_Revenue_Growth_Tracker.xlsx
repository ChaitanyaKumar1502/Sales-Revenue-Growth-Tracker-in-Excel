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Formulas_Guide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Pivot_Guide" sheetId="6" state="visible" r:id="rId6"/>
  </sheets>
  <definedNames>
    <definedName name="_xlnm._FilterDatabase" localSheetId="0" hidden="1">'Raw_Data'!$A$1:$R$1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b val="1"/>
      <color rgb="00FFFFFF"/>
      <sz val="16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80"/>
      <sz val="10"/>
    </font>
    <font>
      <name val="Arial"/>
      <b val="1"/>
      <color rgb="00FFFFFF"/>
      <sz val="18"/>
    </font>
    <font>
      <name val="Arial"/>
      <i val="1"/>
      <color rgb="00BDD7EE"/>
      <sz val="11"/>
    </font>
    <font>
      <name val="Arial"/>
      <b val="1"/>
      <color rgb="001F3864"/>
      <sz val="16"/>
    </font>
    <font>
      <name val="Arial"/>
      <b val="1"/>
      <color rgb="00FFFFFF"/>
      <sz val="15"/>
    </font>
  </fonts>
  <fills count="1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1F3864"/>
      </patternFill>
    </fill>
    <fill>
      <patternFill patternType="solid">
        <fgColor rgb="00F0FFF0"/>
      </patternFill>
    </fill>
    <fill>
      <patternFill patternType="solid">
        <fgColor rgb="00D6E4F0"/>
      </patternFill>
    </fill>
    <fill>
      <patternFill patternType="solid">
        <fgColor rgb="00107C10"/>
      </patternFill>
    </fill>
    <fill>
      <patternFill patternType="solid">
        <fgColor rgb="005A5A5A"/>
      </patternFill>
    </fill>
    <fill>
      <patternFill patternType="solid">
        <fgColor rgb="00ED7D31"/>
      </patternFill>
    </fill>
    <fill>
      <patternFill patternType="solid">
        <fgColor rgb="000070C0"/>
      </patternFill>
    </fill>
    <fill>
      <patternFill patternType="solid">
        <fgColor rgb="007030A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0F4F8"/>
      </patternFill>
    </fill>
    <fill>
      <patternFill patternType="solid">
        <fgColor rgb="002E4057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10" fontId="8" fillId="6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164" fontId="2" fillId="6" borderId="1" applyAlignment="1" pivotButton="0" quotePrefix="0" xfId="0">
      <alignment horizontal="right"/>
    </xf>
    <xf numFmtId="3" fontId="2" fillId="6" borderId="1" applyAlignment="1" pivotButton="0" quotePrefix="0" xfId="0">
      <alignment horizontal="right"/>
    </xf>
    <xf numFmtId="0" fontId="2" fillId="13" borderId="0" applyAlignment="1" pivotButton="0" quotePrefix="0" xfId="0">
      <alignment horizontal="center"/>
    </xf>
    <xf numFmtId="164" fontId="2" fillId="13" borderId="1" applyAlignment="1" pivotButton="0" quotePrefix="0" xfId="0">
      <alignment horizontal="right"/>
    </xf>
    <xf numFmtId="0" fontId="2" fillId="12" borderId="0" applyAlignment="1" pivotButton="0" quotePrefix="0" xfId="0">
      <alignment horizontal="center"/>
    </xf>
    <xf numFmtId="164" fontId="2" fillId="12" borderId="1" applyAlignment="1" pivotButton="0" quotePrefix="0" xfId="0">
      <alignment horizontal="right"/>
    </xf>
    <xf numFmtId="3" fontId="2" fillId="12" borderId="1" applyAlignment="1" pivotButton="0" quotePrefix="0" xfId="0">
      <alignment horizontal="right"/>
    </xf>
    <xf numFmtId="0" fontId="10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/>
    </xf>
    <xf numFmtId="0" fontId="13" fillId="15" borderId="0" applyAlignment="1" pivotButton="0" quotePrefix="0" xfId="0">
      <alignment horizontal="center" vertical="center"/>
    </xf>
    <xf numFmtId="0" fontId="0" fillId="14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3" fontId="14" fillId="12" borderId="1" applyAlignment="1" pivotButton="0" quotePrefix="0" xfId="0">
      <alignment horizontal="center" vertical="center"/>
    </xf>
    <xf numFmtId="10" fontId="14" fillId="12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'Dashboard'!$A$56:$A$59</f>
            </numRef>
          </cat>
          <val>
            <numRef>
              <f>'Dashboard'!$B$56:$B$59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'Dashboard'!B62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'Dashboard'!$A$63:$A$66</f>
            </numRef>
          </cat>
          <val>
            <numRef>
              <f>'Dashboard'!$B$63:$B$66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Channel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'Dashboard'!B68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'Dashboard'!$A$69:$A$70</f>
            </numRef>
          </cat>
          <val>
            <numRef>
              <f>'Dashboard'!$B$69:$B$70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'Dashboard'!$A$56:$A$59</f>
            </numRef>
          </cat>
          <val>
            <numRef>
              <f>'Dashboard'!$B$56:$B$59</f>
            </numRef>
          </val>
        </ser>
        <ser>
          <idx val="1"/>
          <order val="1"/>
          <tx>
            <strRef>
              <f>'Dashboard'!C55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'Dashboard'!$A$56:$A$59</f>
            </numRef>
          </cat>
          <val>
            <numRef>
              <f>'Dashboard'!$C$56:$C$59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3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25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R65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  <col width="14" customWidth="1" min="12" max="12"/>
    <col width="14" customWidth="1" min="13" max="13"/>
    <col width="13" customWidth="1" min="14" max="14"/>
    <col width="13" customWidth="1" min="15" max="15"/>
    <col width="16" customWidth="1" min="16" max="16"/>
    <col width="13" customWidth="1" min="17" max="17"/>
    <col width="10" customWidth="1" min="18" max="18"/>
  </cols>
  <sheetData>
    <row r="1" ht="32" customHeight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Sales Executive</t>
        </is>
      </c>
      <c r="G1" s="1" t="inlineStr">
        <is>
          <t>Product Category</t>
        </is>
      </c>
      <c r="H1" s="1" t="inlineStr">
        <is>
          <t>Product Name</t>
        </is>
      </c>
      <c r="I1" s="1" t="inlineStr">
        <is>
          <t>Units Sold</t>
        </is>
      </c>
      <c r="J1" s="1" t="inlineStr">
        <is>
          <t>Selling Price (₹)</t>
        </is>
      </c>
      <c r="K1" s="1" t="inlineStr">
        <is>
          <t>Revenue (₹)</t>
        </is>
      </c>
      <c r="L1" s="1" t="inlineStr">
        <is>
          <t>Cost (₹)</t>
        </is>
      </c>
      <c r="M1" s="1" t="inlineStr">
        <is>
          <t>Profit (₹)</t>
        </is>
      </c>
      <c r="N1" s="1" t="inlineStr">
        <is>
          <t>Customer Type</t>
        </is>
      </c>
      <c r="O1" s="1" t="inlineStr">
        <is>
          <t>Sales Channel</t>
        </is>
      </c>
      <c r="P1" s="1" t="inlineStr">
        <is>
          <t>Target Sales (₹)</t>
        </is>
      </c>
      <c r="Q1" s="1" t="inlineStr">
        <is>
          <t>Achievement %</t>
        </is>
      </c>
      <c r="R1" s="1" t="inlineStr">
        <is>
          <t>Growth %</t>
        </is>
      </c>
    </row>
    <row r="2">
      <c r="A2" s="2" t="inlineStr">
        <is>
          <t>ORD-1001</t>
        </is>
      </c>
      <c r="B2" s="3" t="inlineStr">
        <is>
          <t>01-01-2024</t>
        </is>
      </c>
      <c r="C2" s="3" t="inlineStr">
        <is>
          <t>Jan-2024</t>
        </is>
      </c>
      <c r="D2" s="2" t="inlineStr">
        <is>
          <t>North</t>
        </is>
      </c>
      <c r="E2" s="2" t="inlineStr">
        <is>
          <t>Delhi</t>
        </is>
      </c>
      <c r="F2" s="3" t="inlineStr">
        <is>
          <t>Vikram Singh</t>
        </is>
      </c>
      <c r="G2" s="3" t="inlineStr">
        <is>
          <t>Furniture</t>
        </is>
      </c>
      <c r="H2" s="2" t="inlineStr">
        <is>
          <t>Desk</t>
        </is>
      </c>
      <c r="I2" s="2" t="n">
        <v>5</v>
      </c>
      <c r="J2" s="3" t="n">
        <v>471.28</v>
      </c>
      <c r="K2" s="3" t="n">
        <v>2356.4</v>
      </c>
      <c r="L2" s="3" t="n">
        <v>1296.02</v>
      </c>
      <c r="M2" s="2" t="n">
        <v>1060.38</v>
      </c>
      <c r="N2" s="2" t="inlineStr">
        <is>
          <t>New</t>
        </is>
      </c>
      <c r="O2" s="2" t="inlineStr">
        <is>
          <t>Offline</t>
        </is>
      </c>
      <c r="P2" s="3" t="n">
        <v>1922.57</v>
      </c>
      <c r="Q2" s="3" t="n">
        <v>122.57</v>
      </c>
      <c r="R2" s="3" t="inlineStr"/>
    </row>
    <row r="3">
      <c r="A3" s="4" t="inlineStr">
        <is>
          <t>ORD-1002</t>
        </is>
      </c>
      <c r="B3" s="5" t="inlineStr">
        <is>
          <t>01-01-2024</t>
        </is>
      </c>
      <c r="C3" s="5" t="inlineStr">
        <is>
          <t>Jan-2024</t>
        </is>
      </c>
      <c r="D3" s="4" t="inlineStr">
        <is>
          <t>North</t>
        </is>
      </c>
      <c r="E3" s="4" t="inlineStr">
        <is>
          <t>Delhi</t>
        </is>
      </c>
      <c r="F3" s="5" t="inlineStr">
        <is>
          <t>Sneha Reddy</t>
        </is>
      </c>
      <c r="G3" s="5" t="inlineStr">
        <is>
          <t>Electronics</t>
        </is>
      </c>
      <c r="H3" s="4" t="inlineStr">
        <is>
          <t>Smartphone</t>
        </is>
      </c>
      <c r="I3" s="4" t="n">
        <v>18</v>
      </c>
      <c r="J3" s="5" t="n">
        <v>787.12</v>
      </c>
      <c r="K3" s="5" t="n">
        <v>14168.16</v>
      </c>
      <c r="L3" s="5" t="n">
        <v>8500.9</v>
      </c>
      <c r="M3" s="4" t="n">
        <v>5667.26</v>
      </c>
      <c r="N3" s="4" t="inlineStr">
        <is>
          <t>Existing</t>
        </is>
      </c>
      <c r="O3" s="4" t="inlineStr">
        <is>
          <t>Offline</t>
        </is>
      </c>
      <c r="P3" s="5" t="n">
        <v>17068.6</v>
      </c>
      <c r="Q3" s="5" t="n">
        <v>83.01000000000001</v>
      </c>
      <c r="R3" s="5" t="inlineStr"/>
    </row>
    <row r="4">
      <c r="A4" s="2" t="inlineStr">
        <is>
          <t>ORD-1003</t>
        </is>
      </c>
      <c r="B4" s="3" t="inlineStr">
        <is>
          <t>01-01-2024</t>
        </is>
      </c>
      <c r="C4" s="3" t="inlineStr">
        <is>
          <t>Jan-2024</t>
        </is>
      </c>
      <c r="D4" s="2" t="inlineStr">
        <is>
          <t>North</t>
        </is>
      </c>
      <c r="E4" s="2" t="inlineStr">
        <is>
          <t>Delhi</t>
        </is>
      </c>
      <c r="F4" s="3" t="inlineStr">
        <is>
          <t>Amit Kumar</t>
        </is>
      </c>
      <c r="G4" s="3" t="inlineStr">
        <is>
          <t>Apparel</t>
        </is>
      </c>
      <c r="H4" s="2" t="inlineStr">
        <is>
          <t>T-Shirt</t>
        </is>
      </c>
      <c r="I4" s="2" t="n">
        <v>5</v>
      </c>
      <c r="J4" s="3" t="n">
        <v>37.72</v>
      </c>
      <c r="K4" s="3" t="n">
        <v>188.6</v>
      </c>
      <c r="L4" s="3" t="n">
        <v>84.87</v>
      </c>
      <c r="M4" s="2" t="n">
        <v>103.73</v>
      </c>
      <c r="N4" s="2" t="inlineStr">
        <is>
          <t>Existing</t>
        </is>
      </c>
      <c r="O4" s="2" t="inlineStr">
        <is>
          <t>Online</t>
        </is>
      </c>
      <c r="P4" s="3" t="n">
        <v>159.63</v>
      </c>
      <c r="Q4" s="3" t="n">
        <v>118.15</v>
      </c>
      <c r="R4" s="3" t="inlineStr"/>
    </row>
    <row r="5">
      <c r="A5" s="4" t="inlineStr">
        <is>
          <t>ORD-1004</t>
        </is>
      </c>
      <c r="B5" s="5" t="inlineStr">
        <is>
          <t>02-01-2024</t>
        </is>
      </c>
      <c r="C5" s="5" t="inlineStr">
        <is>
          <t>Jan-2024</t>
        </is>
      </c>
      <c r="D5" s="4" t="inlineStr">
        <is>
          <t>East</t>
        </is>
      </c>
      <c r="E5" s="4" t="inlineStr">
        <is>
          <t>Bhubaneswar</t>
        </is>
      </c>
      <c r="F5" s="5" t="inlineStr">
        <is>
          <t>Kavita Rao</t>
        </is>
      </c>
      <c r="G5" s="5" t="inlineStr">
        <is>
          <t>Apparel</t>
        </is>
      </c>
      <c r="H5" s="4" t="inlineStr">
        <is>
          <t>Jacket</t>
        </is>
      </c>
      <c r="I5" s="4" t="n">
        <v>15</v>
      </c>
      <c r="J5" s="5" t="n">
        <v>120.87</v>
      </c>
      <c r="K5" s="5" t="n">
        <v>1813.05</v>
      </c>
      <c r="L5" s="5" t="n">
        <v>815.87</v>
      </c>
      <c r="M5" s="4" t="n">
        <v>997.1799999999999</v>
      </c>
      <c r="N5" s="4" t="inlineStr">
        <is>
          <t>Existing</t>
        </is>
      </c>
      <c r="O5" s="4" t="inlineStr">
        <is>
          <t>Online</t>
        </is>
      </c>
      <c r="P5" s="5" t="n">
        <v>1950.88</v>
      </c>
      <c r="Q5" s="5" t="n">
        <v>92.93000000000001</v>
      </c>
      <c r="R5" s="5" t="inlineStr"/>
    </row>
    <row r="6">
      <c r="A6" s="2" t="inlineStr">
        <is>
          <t>ORD-1005</t>
        </is>
      </c>
      <c r="B6" s="3" t="inlineStr">
        <is>
          <t>03-01-2024</t>
        </is>
      </c>
      <c r="C6" s="3" t="inlineStr">
        <is>
          <t>Jan-2024</t>
        </is>
      </c>
      <c r="D6" s="2" t="inlineStr">
        <is>
          <t>East</t>
        </is>
      </c>
      <c r="E6" s="2" t="inlineStr">
        <is>
          <t>Patna</t>
        </is>
      </c>
      <c r="F6" s="3" t="inlineStr">
        <is>
          <t>Sneha Reddy</t>
        </is>
      </c>
      <c r="G6" s="3" t="inlineStr">
        <is>
          <t>Electronics</t>
        </is>
      </c>
      <c r="H6" s="2" t="inlineStr">
        <is>
          <t>Laptop</t>
        </is>
      </c>
      <c r="I6" s="2" t="n">
        <v>8</v>
      </c>
      <c r="J6" s="3" t="n">
        <v>1265.54</v>
      </c>
      <c r="K6" s="3" t="n">
        <v>10124.32</v>
      </c>
      <c r="L6" s="3" t="n">
        <v>6074.59</v>
      </c>
      <c r="M6" s="2" t="n">
        <v>4049.73</v>
      </c>
      <c r="N6" s="2" t="inlineStr">
        <is>
          <t>New</t>
        </is>
      </c>
      <c r="O6" s="2" t="inlineStr">
        <is>
          <t>Online</t>
        </is>
      </c>
      <c r="P6" s="3" t="n">
        <v>12485.73</v>
      </c>
      <c r="Q6" s="3" t="n">
        <v>81.09</v>
      </c>
      <c r="R6" s="3" t="inlineStr"/>
    </row>
    <row r="7">
      <c r="A7" s="4" t="inlineStr">
        <is>
          <t>ORD-1006</t>
        </is>
      </c>
      <c r="B7" s="5" t="inlineStr">
        <is>
          <t>03-01-2024</t>
        </is>
      </c>
      <c r="C7" s="5" t="inlineStr">
        <is>
          <t>Jan-2024</t>
        </is>
      </c>
      <c r="D7" s="4" t="inlineStr">
        <is>
          <t>West</t>
        </is>
      </c>
      <c r="E7" s="4" t="inlineStr">
        <is>
          <t>Ahmedabad</t>
        </is>
      </c>
      <c r="F7" s="5" t="inlineStr">
        <is>
          <t>Pooja Joshi</t>
        </is>
      </c>
      <c r="G7" s="5" t="inlineStr">
        <is>
          <t>Apparel</t>
        </is>
      </c>
      <c r="H7" s="4" t="inlineStr">
        <is>
          <t>Formal Shirt</t>
        </is>
      </c>
      <c r="I7" s="4" t="n">
        <v>12</v>
      </c>
      <c r="J7" s="5" t="n">
        <v>77.68000000000001</v>
      </c>
      <c r="K7" s="5" t="n">
        <v>932.16</v>
      </c>
      <c r="L7" s="5" t="n">
        <v>419.47</v>
      </c>
      <c r="M7" s="4" t="n">
        <v>512.6900000000001</v>
      </c>
      <c r="N7" s="4" t="inlineStr">
        <is>
          <t>Existing</t>
        </is>
      </c>
      <c r="O7" s="4" t="inlineStr">
        <is>
          <t>Online</t>
        </is>
      </c>
      <c r="P7" s="5" t="n">
        <v>1029.63</v>
      </c>
      <c r="Q7" s="5" t="n">
        <v>90.53</v>
      </c>
      <c r="R7" s="5" t="inlineStr"/>
    </row>
    <row r="8">
      <c r="A8" s="2" t="inlineStr">
        <is>
          <t>ORD-1007</t>
        </is>
      </c>
      <c r="B8" s="3" t="inlineStr">
        <is>
          <t>03-01-2024</t>
        </is>
      </c>
      <c r="C8" s="3" t="inlineStr">
        <is>
          <t>Jan-2024</t>
        </is>
      </c>
      <c r="D8" s="2" t="inlineStr">
        <is>
          <t>South</t>
        </is>
      </c>
      <c r="E8" s="2" t="inlineStr">
        <is>
          <t>Hyderabad</t>
        </is>
      </c>
      <c r="F8" s="3" t="inlineStr">
        <is>
          <t>Sneha Reddy</t>
        </is>
      </c>
      <c r="G8" s="3" t="inlineStr">
        <is>
          <t>Furniture</t>
        </is>
      </c>
      <c r="H8" s="2" t="inlineStr">
        <is>
          <t>Cabinet</t>
        </is>
      </c>
      <c r="I8" s="2" t="n">
        <v>13</v>
      </c>
      <c r="J8" s="3" t="n">
        <v>286.2</v>
      </c>
      <c r="K8" s="3" t="n">
        <v>3720.6</v>
      </c>
      <c r="L8" s="3" t="n">
        <v>2046.33</v>
      </c>
      <c r="M8" s="2" t="n">
        <v>1674.27</v>
      </c>
      <c r="N8" s="2" t="inlineStr">
        <is>
          <t>New</t>
        </is>
      </c>
      <c r="O8" s="2" t="inlineStr">
        <is>
          <t>Offline</t>
        </is>
      </c>
      <c r="P8" s="3" t="n">
        <v>4544.44</v>
      </c>
      <c r="Q8" s="3" t="n">
        <v>81.87</v>
      </c>
      <c r="R8" s="3" t="inlineStr"/>
    </row>
    <row r="9">
      <c r="A9" s="4" t="inlineStr">
        <is>
          <t>ORD-1008</t>
        </is>
      </c>
      <c r="B9" s="5" t="inlineStr">
        <is>
          <t>04-01-2024</t>
        </is>
      </c>
      <c r="C9" s="5" t="inlineStr">
        <is>
          <t>Jan-2024</t>
        </is>
      </c>
      <c r="D9" s="4" t="inlineStr">
        <is>
          <t>South</t>
        </is>
      </c>
      <c r="E9" s="4" t="inlineStr">
        <is>
          <t>Chennai</t>
        </is>
      </c>
      <c r="F9" s="5" t="inlineStr">
        <is>
          <t>Deepa Nair</t>
        </is>
      </c>
      <c r="G9" s="5" t="inlineStr">
        <is>
          <t>Software</t>
        </is>
      </c>
      <c r="H9" s="4" t="inlineStr">
        <is>
          <t>Analytics Pro</t>
        </is>
      </c>
      <c r="I9" s="4" t="n">
        <v>3</v>
      </c>
      <c r="J9" s="5" t="n">
        <v>2355.49</v>
      </c>
      <c r="K9" s="5" t="n">
        <v>7066.47</v>
      </c>
      <c r="L9" s="5" t="n">
        <v>2119.94</v>
      </c>
      <c r="M9" s="4" t="n">
        <v>4946.53</v>
      </c>
      <c r="N9" s="4" t="inlineStr">
        <is>
          <t>Existing</t>
        </is>
      </c>
      <c r="O9" s="4" t="inlineStr">
        <is>
          <t>Online</t>
        </is>
      </c>
      <c r="P9" s="5" t="n">
        <v>7968.99</v>
      </c>
      <c r="Q9" s="5" t="n">
        <v>88.67</v>
      </c>
      <c r="R9" s="5" t="inlineStr"/>
    </row>
    <row r="10">
      <c r="A10" s="2" t="inlineStr">
        <is>
          <t>ORD-1009</t>
        </is>
      </c>
      <c r="B10" s="3" t="inlineStr">
        <is>
          <t>05-01-2024</t>
        </is>
      </c>
      <c r="C10" s="3" t="inlineStr">
        <is>
          <t>Jan-2024</t>
        </is>
      </c>
      <c r="D10" s="2" t="inlineStr">
        <is>
          <t>West</t>
        </is>
      </c>
      <c r="E10" s="2" t="inlineStr">
        <is>
          <t>Mumbai</t>
        </is>
      </c>
      <c r="F10" s="3" t="inlineStr">
        <is>
          <t>Vikram Singh</t>
        </is>
      </c>
      <c r="G10" s="3" t="inlineStr">
        <is>
          <t>Furniture</t>
        </is>
      </c>
      <c r="H10" s="2" t="inlineStr">
        <is>
          <t>Desk</t>
        </is>
      </c>
      <c r="I10" s="2" t="n">
        <v>18</v>
      </c>
      <c r="J10" s="3" t="n">
        <v>453.51</v>
      </c>
      <c r="K10" s="3" t="n">
        <v>8163.18</v>
      </c>
      <c r="L10" s="3" t="n">
        <v>4489.75</v>
      </c>
      <c r="M10" s="2" t="n">
        <v>3673.43</v>
      </c>
      <c r="N10" s="2" t="inlineStr">
        <is>
          <t>Existing</t>
        </is>
      </c>
      <c r="O10" s="2" t="inlineStr">
        <is>
          <t>Offline</t>
        </is>
      </c>
      <c r="P10" s="3" t="n">
        <v>8008.07</v>
      </c>
      <c r="Q10" s="3" t="n">
        <v>101.94</v>
      </c>
      <c r="R10" s="3" t="inlineStr"/>
    </row>
    <row r="11">
      <c r="A11" s="4" t="inlineStr">
        <is>
          <t>ORD-1010</t>
        </is>
      </c>
      <c r="B11" s="5" t="inlineStr">
        <is>
          <t>05-01-2024</t>
        </is>
      </c>
      <c r="C11" s="5" t="inlineStr">
        <is>
          <t>Jan-2024</t>
        </is>
      </c>
      <c r="D11" s="4" t="inlineStr">
        <is>
          <t>South</t>
        </is>
      </c>
      <c r="E11" s="4" t="inlineStr">
        <is>
          <t>Hyderabad</t>
        </is>
      </c>
      <c r="F11" s="5" t="inlineStr">
        <is>
          <t>Pooja Joshi</t>
        </is>
      </c>
      <c r="G11" s="5" t="inlineStr">
        <is>
          <t>Electronics</t>
        </is>
      </c>
      <c r="H11" s="4" t="inlineStr">
        <is>
          <t>Laptop</t>
        </is>
      </c>
      <c r="I11" s="4" t="n">
        <v>4</v>
      </c>
      <c r="J11" s="5" t="n">
        <v>1116.68</v>
      </c>
      <c r="K11" s="5" t="n">
        <v>4466.72</v>
      </c>
      <c r="L11" s="5" t="n">
        <v>2680.03</v>
      </c>
      <c r="M11" s="4" t="n">
        <v>1786.69</v>
      </c>
      <c r="N11" s="4" t="inlineStr">
        <is>
          <t>New</t>
        </is>
      </c>
      <c r="O11" s="4" t="inlineStr">
        <is>
          <t>Offline</t>
        </is>
      </c>
      <c r="P11" s="5" t="n">
        <v>4905.37</v>
      </c>
      <c r="Q11" s="5" t="n">
        <v>91.06</v>
      </c>
      <c r="R11" s="5" t="inlineStr"/>
    </row>
    <row r="12">
      <c r="A12" s="2" t="inlineStr">
        <is>
          <t>ORD-1011</t>
        </is>
      </c>
      <c r="B12" s="3" t="inlineStr">
        <is>
          <t>06-01-2024</t>
        </is>
      </c>
      <c r="C12" s="3" t="inlineStr">
        <is>
          <t>Jan-2024</t>
        </is>
      </c>
      <c r="D12" s="2" t="inlineStr">
        <is>
          <t>West</t>
        </is>
      </c>
      <c r="E12" s="2" t="inlineStr">
        <is>
          <t>Pune</t>
        </is>
      </c>
      <c r="F12" s="3" t="inlineStr">
        <is>
          <t>Pooja Joshi</t>
        </is>
      </c>
      <c r="G12" s="3" t="inlineStr">
        <is>
          <t>Apparel</t>
        </is>
      </c>
      <c r="H12" s="2" t="inlineStr">
        <is>
          <t>Jacket</t>
        </is>
      </c>
      <c r="I12" s="2" t="n">
        <v>4</v>
      </c>
      <c r="J12" s="3" t="n">
        <v>124.36</v>
      </c>
      <c r="K12" s="3" t="n">
        <v>497.44</v>
      </c>
      <c r="L12" s="3" t="n">
        <v>223.85</v>
      </c>
      <c r="M12" s="2" t="n">
        <v>273.59</v>
      </c>
      <c r="N12" s="2" t="inlineStr">
        <is>
          <t>Existing</t>
        </is>
      </c>
      <c r="O12" s="2" t="inlineStr">
        <is>
          <t>Offline</t>
        </is>
      </c>
      <c r="P12" s="3" t="n">
        <v>425.7</v>
      </c>
      <c r="Q12" s="3" t="n">
        <v>116.85</v>
      </c>
      <c r="R12" s="3" t="inlineStr"/>
    </row>
    <row r="13">
      <c r="A13" s="4" t="inlineStr">
        <is>
          <t>ORD-1012</t>
        </is>
      </c>
      <c r="B13" s="5" t="inlineStr">
        <is>
          <t>06-01-2024</t>
        </is>
      </c>
      <c r="C13" s="5" t="inlineStr">
        <is>
          <t>Jan-2024</t>
        </is>
      </c>
      <c r="D13" s="4" t="inlineStr">
        <is>
          <t>West</t>
        </is>
      </c>
      <c r="E13" s="4" t="inlineStr">
        <is>
          <t>Mumbai</t>
        </is>
      </c>
      <c r="F13" s="5" t="inlineStr">
        <is>
          <t>Pooja Joshi</t>
        </is>
      </c>
      <c r="G13" s="5" t="inlineStr">
        <is>
          <t>Electronics</t>
        </is>
      </c>
      <c r="H13" s="4" t="inlineStr">
        <is>
          <t>Tablet</t>
        </is>
      </c>
      <c r="I13" s="4" t="n">
        <v>17</v>
      </c>
      <c r="J13" s="5" t="n">
        <v>631.4400000000001</v>
      </c>
      <c r="K13" s="5" t="n">
        <v>10734.48</v>
      </c>
      <c r="L13" s="5" t="n">
        <v>6440.69</v>
      </c>
      <c r="M13" s="4" t="n">
        <v>4293.79</v>
      </c>
      <c r="N13" s="4" t="inlineStr">
        <is>
          <t>New</t>
        </is>
      </c>
      <c r="O13" s="4" t="inlineStr">
        <is>
          <t>Offline</t>
        </is>
      </c>
      <c r="P13" s="5" t="n">
        <v>13105.03</v>
      </c>
      <c r="Q13" s="5" t="n">
        <v>81.91</v>
      </c>
      <c r="R13" s="5" t="inlineStr"/>
    </row>
    <row r="14">
      <c r="A14" s="2" t="inlineStr">
        <is>
          <t>ORD-1013</t>
        </is>
      </c>
      <c r="B14" s="3" t="inlineStr">
        <is>
          <t>08-01-2024</t>
        </is>
      </c>
      <c r="C14" s="3" t="inlineStr">
        <is>
          <t>Jan-2024</t>
        </is>
      </c>
      <c r="D14" s="2" t="inlineStr">
        <is>
          <t>East</t>
        </is>
      </c>
      <c r="E14" s="2" t="inlineStr">
        <is>
          <t>Kolkata</t>
        </is>
      </c>
      <c r="F14" s="3" t="inlineStr">
        <is>
          <t>Ravi Verma</t>
        </is>
      </c>
      <c r="G14" s="3" t="inlineStr">
        <is>
          <t>Electronics</t>
        </is>
      </c>
      <c r="H14" s="2" t="inlineStr">
        <is>
          <t>Tablet</t>
        </is>
      </c>
      <c r="I14" s="2" t="n">
        <v>16</v>
      </c>
      <c r="J14" s="3" t="n">
        <v>542.34</v>
      </c>
      <c r="K14" s="3" t="n">
        <v>8677.440000000001</v>
      </c>
      <c r="L14" s="3" t="n">
        <v>5206.46</v>
      </c>
      <c r="M14" s="2" t="n">
        <v>3470.98</v>
      </c>
      <c r="N14" s="2" t="inlineStr">
        <is>
          <t>Existing</t>
        </is>
      </c>
      <c r="O14" s="2" t="inlineStr">
        <is>
          <t>Offline</t>
        </is>
      </c>
      <c r="P14" s="3" t="n">
        <v>7980.87</v>
      </c>
      <c r="Q14" s="3" t="n">
        <v>108.73</v>
      </c>
      <c r="R14" s="3" t="inlineStr"/>
    </row>
    <row r="15">
      <c r="A15" s="4" t="inlineStr">
        <is>
          <t>ORD-1014</t>
        </is>
      </c>
      <c r="B15" s="5" t="inlineStr">
        <is>
          <t>09-01-2024</t>
        </is>
      </c>
      <c r="C15" s="5" t="inlineStr">
        <is>
          <t>Jan-2024</t>
        </is>
      </c>
      <c r="D15" s="4" t="inlineStr">
        <is>
          <t>North</t>
        </is>
      </c>
      <c r="E15" s="4" t="inlineStr">
        <is>
          <t>Delhi</t>
        </is>
      </c>
      <c r="F15" s="5" t="inlineStr">
        <is>
          <t>Pooja Joshi</t>
        </is>
      </c>
      <c r="G15" s="5" t="inlineStr">
        <is>
          <t>Electronics</t>
        </is>
      </c>
      <c r="H15" s="4" t="inlineStr">
        <is>
          <t>Smartphone</t>
        </is>
      </c>
      <c r="I15" s="4" t="n">
        <v>5</v>
      </c>
      <c r="J15" s="5" t="n">
        <v>825.5599999999999</v>
      </c>
      <c r="K15" s="5" t="n">
        <v>4127.8</v>
      </c>
      <c r="L15" s="5" t="n">
        <v>2476.68</v>
      </c>
      <c r="M15" s="4" t="n">
        <v>1651.12</v>
      </c>
      <c r="N15" s="4" t="inlineStr">
        <is>
          <t>New</t>
        </is>
      </c>
      <c r="O15" s="4" t="inlineStr">
        <is>
          <t>Offline</t>
        </is>
      </c>
      <c r="P15" s="5" t="n">
        <v>4391.31</v>
      </c>
      <c r="Q15" s="5" t="n">
        <v>94</v>
      </c>
      <c r="R15" s="5" t="inlineStr"/>
    </row>
    <row r="16">
      <c r="A16" s="2" t="inlineStr">
        <is>
          <t>ORD-1015</t>
        </is>
      </c>
      <c r="B16" s="3" t="inlineStr">
        <is>
          <t>10-01-2024</t>
        </is>
      </c>
      <c r="C16" s="3" t="inlineStr">
        <is>
          <t>Jan-2024</t>
        </is>
      </c>
      <c r="D16" s="2" t="inlineStr">
        <is>
          <t>West</t>
        </is>
      </c>
      <c r="E16" s="2" t="inlineStr">
        <is>
          <t>Mumbai</t>
        </is>
      </c>
      <c r="F16" s="3" t="inlineStr">
        <is>
          <t>Ravi Verma</t>
        </is>
      </c>
      <c r="G16" s="3" t="inlineStr">
        <is>
          <t>Furniture</t>
        </is>
      </c>
      <c r="H16" s="2" t="inlineStr">
        <is>
          <t>Bookshelf</t>
        </is>
      </c>
      <c r="I16" s="2" t="n">
        <v>13</v>
      </c>
      <c r="J16" s="3" t="n">
        <v>219.81</v>
      </c>
      <c r="K16" s="3" t="n">
        <v>2857.53</v>
      </c>
      <c r="L16" s="3" t="n">
        <v>1571.64</v>
      </c>
      <c r="M16" s="2" t="n">
        <v>1285.89</v>
      </c>
      <c r="N16" s="2" t="inlineStr">
        <is>
          <t>Existing</t>
        </is>
      </c>
      <c r="O16" s="2" t="inlineStr">
        <is>
          <t>Offline</t>
        </is>
      </c>
      <c r="P16" s="3" t="n">
        <v>3571.36</v>
      </c>
      <c r="Q16" s="3" t="n">
        <v>80.01000000000001</v>
      </c>
      <c r="R16" s="3" t="inlineStr"/>
    </row>
    <row r="17">
      <c r="A17" s="4" t="inlineStr">
        <is>
          <t>ORD-1016</t>
        </is>
      </c>
      <c r="B17" s="5" t="inlineStr">
        <is>
          <t>10-01-2024</t>
        </is>
      </c>
      <c r="C17" s="5" t="inlineStr">
        <is>
          <t>Jan-2024</t>
        </is>
      </c>
      <c r="D17" s="4" t="inlineStr">
        <is>
          <t>West</t>
        </is>
      </c>
      <c r="E17" s="4" t="inlineStr">
        <is>
          <t>Mumbai</t>
        </is>
      </c>
      <c r="F17" s="5" t="inlineStr">
        <is>
          <t>Sneha Reddy</t>
        </is>
      </c>
      <c r="G17" s="5" t="inlineStr">
        <is>
          <t>Furniture</t>
        </is>
      </c>
      <c r="H17" s="4" t="inlineStr">
        <is>
          <t>Office Chair</t>
        </is>
      </c>
      <c r="I17" s="4" t="n">
        <v>11</v>
      </c>
      <c r="J17" s="5" t="n">
        <v>316.47</v>
      </c>
      <c r="K17" s="5" t="n">
        <v>3481.17</v>
      </c>
      <c r="L17" s="5" t="n">
        <v>1914.64</v>
      </c>
      <c r="M17" s="4" t="n">
        <v>1566.53</v>
      </c>
      <c r="N17" s="4" t="inlineStr">
        <is>
          <t>New</t>
        </is>
      </c>
      <c r="O17" s="4" t="inlineStr">
        <is>
          <t>Online</t>
        </is>
      </c>
      <c r="P17" s="5" t="n">
        <v>2797.45</v>
      </c>
      <c r="Q17" s="5" t="n">
        <v>124.44</v>
      </c>
      <c r="R17" s="5" t="inlineStr"/>
    </row>
    <row r="18">
      <c r="A18" s="2" t="inlineStr">
        <is>
          <t>ORD-1017</t>
        </is>
      </c>
      <c r="B18" s="3" t="inlineStr">
        <is>
          <t>10-01-2024</t>
        </is>
      </c>
      <c r="C18" s="3" t="inlineStr">
        <is>
          <t>Jan-2024</t>
        </is>
      </c>
      <c r="D18" s="2" t="inlineStr">
        <is>
          <t>North</t>
        </is>
      </c>
      <c r="E18" s="2" t="inlineStr">
        <is>
          <t>Delhi</t>
        </is>
      </c>
      <c r="F18" s="3" t="inlineStr">
        <is>
          <t>Priya Patel</t>
        </is>
      </c>
      <c r="G18" s="3" t="inlineStr">
        <is>
          <t>Electronics</t>
        </is>
      </c>
      <c r="H18" s="2" t="inlineStr">
        <is>
          <t>Tablet</t>
        </is>
      </c>
      <c r="I18" s="2" t="n">
        <v>3</v>
      </c>
      <c r="J18" s="3" t="n">
        <v>601.7</v>
      </c>
      <c r="K18" s="3" t="n">
        <v>1805.1</v>
      </c>
      <c r="L18" s="3" t="n">
        <v>1083.06</v>
      </c>
      <c r="M18" s="2" t="n">
        <v>722.04</v>
      </c>
      <c r="N18" s="2" t="inlineStr">
        <is>
          <t>Existing</t>
        </is>
      </c>
      <c r="O18" s="2" t="inlineStr">
        <is>
          <t>Offline</t>
        </is>
      </c>
      <c r="P18" s="3" t="n">
        <v>1637.44</v>
      </c>
      <c r="Q18" s="3" t="n">
        <v>110.24</v>
      </c>
      <c r="R18" s="3" t="inlineStr"/>
    </row>
    <row r="19">
      <c r="A19" s="4" t="inlineStr">
        <is>
          <t>ORD-1018</t>
        </is>
      </c>
      <c r="B19" s="5" t="inlineStr">
        <is>
          <t>11-01-2024</t>
        </is>
      </c>
      <c r="C19" s="5" t="inlineStr">
        <is>
          <t>Jan-2024</t>
        </is>
      </c>
      <c r="D19" s="4" t="inlineStr">
        <is>
          <t>West</t>
        </is>
      </c>
      <c r="E19" s="4" t="inlineStr">
        <is>
          <t>Mumbai</t>
        </is>
      </c>
      <c r="F19" s="5" t="inlineStr">
        <is>
          <t>Pooja Joshi</t>
        </is>
      </c>
      <c r="G19" s="5" t="inlineStr">
        <is>
          <t>Software</t>
        </is>
      </c>
      <c r="H19" s="4" t="inlineStr">
        <is>
          <t>CRM Tool</t>
        </is>
      </c>
      <c r="I19" s="4" t="n">
        <v>4</v>
      </c>
      <c r="J19" s="5" t="n">
        <v>2758.16</v>
      </c>
      <c r="K19" s="5" t="n">
        <v>11032.64</v>
      </c>
      <c r="L19" s="5" t="n">
        <v>3309.79</v>
      </c>
      <c r="M19" s="4" t="n">
        <v>7722.85</v>
      </c>
      <c r="N19" s="4" t="inlineStr">
        <is>
          <t>Existing</t>
        </is>
      </c>
      <c r="O19" s="4" t="inlineStr">
        <is>
          <t>Offline</t>
        </is>
      </c>
      <c r="P19" s="5" t="n">
        <v>11162.71</v>
      </c>
      <c r="Q19" s="5" t="n">
        <v>98.83</v>
      </c>
      <c r="R19" s="5" t="inlineStr"/>
    </row>
    <row r="20">
      <c r="A20" s="2" t="inlineStr">
        <is>
          <t>ORD-1019</t>
        </is>
      </c>
      <c r="B20" s="3" t="inlineStr">
        <is>
          <t>12-01-2024</t>
        </is>
      </c>
      <c r="C20" s="3" t="inlineStr">
        <is>
          <t>Jan-2024</t>
        </is>
      </c>
      <c r="D20" s="2" t="inlineStr">
        <is>
          <t>North</t>
        </is>
      </c>
      <c r="E20" s="2" t="inlineStr">
        <is>
          <t>Lucknow</t>
        </is>
      </c>
      <c r="F20" s="3" t="inlineStr">
        <is>
          <t>Priya Patel</t>
        </is>
      </c>
      <c r="G20" s="3" t="inlineStr">
        <is>
          <t>Electronics</t>
        </is>
      </c>
      <c r="H20" s="2" t="inlineStr">
        <is>
          <t>Smartwatch</t>
        </is>
      </c>
      <c r="I20" s="2" t="n">
        <v>11</v>
      </c>
      <c r="J20" s="3" t="n">
        <v>318.04</v>
      </c>
      <c r="K20" s="3" t="n">
        <v>3498.44</v>
      </c>
      <c r="L20" s="3" t="n">
        <v>2099.06</v>
      </c>
      <c r="M20" s="2" t="n">
        <v>1399.38</v>
      </c>
      <c r="N20" s="2" t="inlineStr">
        <is>
          <t>New</t>
        </is>
      </c>
      <c r="O20" s="2" t="inlineStr">
        <is>
          <t>Online</t>
        </is>
      </c>
      <c r="P20" s="3" t="n">
        <v>3133.89</v>
      </c>
      <c r="Q20" s="3" t="n">
        <v>111.63</v>
      </c>
      <c r="R20" s="3" t="inlineStr"/>
    </row>
    <row r="21">
      <c r="A21" s="4" t="inlineStr">
        <is>
          <t>ORD-1020</t>
        </is>
      </c>
      <c r="B21" s="5" t="inlineStr">
        <is>
          <t>12-01-2024</t>
        </is>
      </c>
      <c r="C21" s="5" t="inlineStr">
        <is>
          <t>Jan-2024</t>
        </is>
      </c>
      <c r="D21" s="4" t="inlineStr">
        <is>
          <t>West</t>
        </is>
      </c>
      <c r="E21" s="4" t="inlineStr">
        <is>
          <t>Mumbai</t>
        </is>
      </c>
      <c r="F21" s="5" t="inlineStr">
        <is>
          <t>Amit Kumar</t>
        </is>
      </c>
      <c r="G21" s="5" t="inlineStr">
        <is>
          <t>Furniture</t>
        </is>
      </c>
      <c r="H21" s="4" t="inlineStr">
        <is>
          <t>Bookshelf</t>
        </is>
      </c>
      <c r="I21" s="4" t="n">
        <v>15</v>
      </c>
      <c r="J21" s="5" t="n">
        <v>189.99</v>
      </c>
      <c r="K21" s="5" t="n">
        <v>2849.85</v>
      </c>
      <c r="L21" s="5" t="n">
        <v>1567.42</v>
      </c>
      <c r="M21" s="4" t="n">
        <v>1282.43</v>
      </c>
      <c r="N21" s="4" t="inlineStr">
        <is>
          <t>New</t>
        </is>
      </c>
      <c r="O21" s="4" t="inlineStr">
        <is>
          <t>Offline</t>
        </is>
      </c>
      <c r="P21" s="5" t="n">
        <v>3431.25</v>
      </c>
      <c r="Q21" s="5" t="n">
        <v>83.06</v>
      </c>
      <c r="R21" s="5" t="inlineStr"/>
    </row>
    <row r="22">
      <c r="A22" s="2" t="inlineStr">
        <is>
          <t>ORD-1021</t>
        </is>
      </c>
      <c r="B22" s="3" t="inlineStr">
        <is>
          <t>13-01-2024</t>
        </is>
      </c>
      <c r="C22" s="3" t="inlineStr">
        <is>
          <t>Jan-2024</t>
        </is>
      </c>
      <c r="D22" s="2" t="inlineStr">
        <is>
          <t>North</t>
        </is>
      </c>
      <c r="E22" s="2" t="inlineStr">
        <is>
          <t>Delhi</t>
        </is>
      </c>
      <c r="F22" s="3" t="inlineStr">
        <is>
          <t>Ravi Verma</t>
        </is>
      </c>
      <c r="G22" s="3" t="inlineStr">
        <is>
          <t>Electronics</t>
        </is>
      </c>
      <c r="H22" s="2" t="inlineStr">
        <is>
          <t>Laptop</t>
        </is>
      </c>
      <c r="I22" s="2" t="n">
        <v>8</v>
      </c>
      <c r="J22" s="3" t="n">
        <v>1119.91</v>
      </c>
      <c r="K22" s="3" t="n">
        <v>8959.280000000001</v>
      </c>
      <c r="L22" s="3" t="n">
        <v>5375.57</v>
      </c>
      <c r="M22" s="2" t="n">
        <v>3583.71</v>
      </c>
      <c r="N22" s="2" t="inlineStr">
        <is>
          <t>Existing</t>
        </is>
      </c>
      <c r="O22" s="2" t="inlineStr">
        <is>
          <t>Offline</t>
        </is>
      </c>
      <c r="P22" s="3" t="n">
        <v>8124.93</v>
      </c>
      <c r="Q22" s="3" t="n">
        <v>110.27</v>
      </c>
      <c r="R22" s="3" t="inlineStr"/>
    </row>
    <row r="23">
      <c r="A23" s="4" t="inlineStr">
        <is>
          <t>ORD-1022</t>
        </is>
      </c>
      <c r="B23" s="5" t="inlineStr">
        <is>
          <t>13-01-2024</t>
        </is>
      </c>
      <c r="C23" s="5" t="inlineStr">
        <is>
          <t>Jan-2024</t>
        </is>
      </c>
      <c r="D23" s="4" t="inlineStr">
        <is>
          <t>West</t>
        </is>
      </c>
      <c r="E23" s="4" t="inlineStr">
        <is>
          <t>Mumbai</t>
        </is>
      </c>
      <c r="F23" s="5" t="inlineStr">
        <is>
          <t>Arjun Mehta</t>
        </is>
      </c>
      <c r="G23" s="5" t="inlineStr">
        <is>
          <t>Software</t>
        </is>
      </c>
      <c r="H23" s="4" t="inlineStr">
        <is>
          <t>ERP Suite</t>
        </is>
      </c>
      <c r="I23" s="4" t="n">
        <v>13</v>
      </c>
      <c r="J23" s="5" t="n">
        <v>4765.2</v>
      </c>
      <c r="K23" s="5" t="n">
        <v>61947.6</v>
      </c>
      <c r="L23" s="5" t="n">
        <v>18584.28</v>
      </c>
      <c r="M23" s="4" t="n">
        <v>43363.32</v>
      </c>
      <c r="N23" s="4" t="inlineStr">
        <is>
          <t>Existing</t>
        </is>
      </c>
      <c r="O23" s="4" t="inlineStr">
        <is>
          <t>Offline</t>
        </is>
      </c>
      <c r="P23" s="5" t="n">
        <v>62660.23</v>
      </c>
      <c r="Q23" s="5" t="n">
        <v>98.86</v>
      </c>
      <c r="R23" s="5" t="inlineStr"/>
    </row>
    <row r="24">
      <c r="A24" s="2" t="inlineStr">
        <is>
          <t>ORD-1023</t>
        </is>
      </c>
      <c r="B24" s="3" t="inlineStr">
        <is>
          <t>13-01-2024</t>
        </is>
      </c>
      <c r="C24" s="3" t="inlineStr">
        <is>
          <t>Jan-2024</t>
        </is>
      </c>
      <c r="D24" s="2" t="inlineStr">
        <is>
          <t>West</t>
        </is>
      </c>
      <c r="E24" s="2" t="inlineStr">
        <is>
          <t>Mumbai</t>
        </is>
      </c>
      <c r="F24" s="3" t="inlineStr">
        <is>
          <t>Sneha Reddy</t>
        </is>
      </c>
      <c r="G24" s="3" t="inlineStr">
        <is>
          <t>Apparel</t>
        </is>
      </c>
      <c r="H24" s="2" t="inlineStr">
        <is>
          <t>Formal Shirt</t>
        </is>
      </c>
      <c r="I24" s="2" t="n">
        <v>2</v>
      </c>
      <c r="J24" s="3" t="n">
        <v>81.27</v>
      </c>
      <c r="K24" s="3" t="n">
        <v>162.54</v>
      </c>
      <c r="L24" s="3" t="n">
        <v>73.14</v>
      </c>
      <c r="M24" s="2" t="n">
        <v>89.40000000000001</v>
      </c>
      <c r="N24" s="2" t="inlineStr">
        <is>
          <t>New</t>
        </is>
      </c>
      <c r="O24" s="2" t="inlineStr">
        <is>
          <t>Offline</t>
        </is>
      </c>
      <c r="P24" s="3" t="n">
        <v>134.68</v>
      </c>
      <c r="Q24" s="3" t="n">
        <v>120.69</v>
      </c>
      <c r="R24" s="3" t="inlineStr"/>
    </row>
    <row r="25">
      <c r="A25" s="4" t="inlineStr">
        <is>
          <t>ORD-1024</t>
        </is>
      </c>
      <c r="B25" s="5" t="inlineStr">
        <is>
          <t>14-01-2024</t>
        </is>
      </c>
      <c r="C25" s="5" t="inlineStr">
        <is>
          <t>Jan-2024</t>
        </is>
      </c>
      <c r="D25" s="4" t="inlineStr">
        <is>
          <t>South</t>
        </is>
      </c>
      <c r="E25" s="4" t="inlineStr">
        <is>
          <t>Chennai</t>
        </is>
      </c>
      <c r="F25" s="5" t="inlineStr">
        <is>
          <t>Ravi Verma</t>
        </is>
      </c>
      <c r="G25" s="5" t="inlineStr">
        <is>
          <t>Electronics</t>
        </is>
      </c>
      <c r="H25" s="4" t="inlineStr">
        <is>
          <t>Smartphone</t>
        </is>
      </c>
      <c r="I25" s="4" t="n">
        <v>3</v>
      </c>
      <c r="J25" s="5" t="n">
        <v>815.21</v>
      </c>
      <c r="K25" s="5" t="n">
        <v>2445.63</v>
      </c>
      <c r="L25" s="5" t="n">
        <v>1467.38</v>
      </c>
      <c r="M25" s="4" t="n">
        <v>978.25</v>
      </c>
      <c r="N25" s="4" t="inlineStr">
        <is>
          <t>New</t>
        </is>
      </c>
      <c r="O25" s="4" t="inlineStr">
        <is>
          <t>Offline</t>
        </is>
      </c>
      <c r="P25" s="5" t="n">
        <v>2103.1</v>
      </c>
      <c r="Q25" s="5" t="n">
        <v>116.29</v>
      </c>
      <c r="R25" s="5" t="inlineStr"/>
    </row>
    <row r="26">
      <c r="A26" s="2" t="inlineStr">
        <is>
          <t>ORD-1025</t>
        </is>
      </c>
      <c r="B26" s="3" t="inlineStr">
        <is>
          <t>15-01-2024</t>
        </is>
      </c>
      <c r="C26" s="3" t="inlineStr">
        <is>
          <t>Jan-2024</t>
        </is>
      </c>
      <c r="D26" s="2" t="inlineStr">
        <is>
          <t>South</t>
        </is>
      </c>
      <c r="E26" s="2" t="inlineStr">
        <is>
          <t>Hyderabad</t>
        </is>
      </c>
      <c r="F26" s="3" t="inlineStr">
        <is>
          <t>Kavita Rao</t>
        </is>
      </c>
      <c r="G26" s="3" t="inlineStr">
        <is>
          <t>Electronics</t>
        </is>
      </c>
      <c r="H26" s="2" t="inlineStr">
        <is>
          <t>Laptop</t>
        </is>
      </c>
      <c r="I26" s="2" t="n">
        <v>14</v>
      </c>
      <c r="J26" s="3" t="n">
        <v>1237.77</v>
      </c>
      <c r="K26" s="3" t="n">
        <v>17328.78</v>
      </c>
      <c r="L26" s="3" t="n">
        <v>10397.27</v>
      </c>
      <c r="M26" s="2" t="n">
        <v>6931.51</v>
      </c>
      <c r="N26" s="2" t="inlineStr">
        <is>
          <t>Existing</t>
        </is>
      </c>
      <c r="O26" s="2" t="inlineStr">
        <is>
          <t>Offline</t>
        </is>
      </c>
      <c r="P26" s="3" t="n">
        <v>15632.81</v>
      </c>
      <c r="Q26" s="3" t="n">
        <v>110.85</v>
      </c>
      <c r="R26" s="3" t="inlineStr"/>
    </row>
    <row r="27">
      <c r="A27" s="4" t="inlineStr">
        <is>
          <t>ORD-1026</t>
        </is>
      </c>
      <c r="B27" s="5" t="inlineStr">
        <is>
          <t>15-01-2024</t>
        </is>
      </c>
      <c r="C27" s="5" t="inlineStr">
        <is>
          <t>Jan-2024</t>
        </is>
      </c>
      <c r="D27" s="4" t="inlineStr">
        <is>
          <t>East</t>
        </is>
      </c>
      <c r="E27" s="4" t="inlineStr">
        <is>
          <t>Kolkata</t>
        </is>
      </c>
      <c r="F27" s="5" t="inlineStr">
        <is>
          <t>Vikram Singh</t>
        </is>
      </c>
      <c r="G27" s="5" t="inlineStr">
        <is>
          <t>Software</t>
        </is>
      </c>
      <c r="H27" s="4" t="inlineStr">
        <is>
          <t>CRM Tool</t>
        </is>
      </c>
      <c r="I27" s="4" t="n">
        <v>10</v>
      </c>
      <c r="J27" s="5" t="n">
        <v>2974.33</v>
      </c>
      <c r="K27" s="5" t="n">
        <v>29743.3</v>
      </c>
      <c r="L27" s="5" t="n">
        <v>8922.99</v>
      </c>
      <c r="M27" s="4" t="n">
        <v>20820.31</v>
      </c>
      <c r="N27" s="4" t="inlineStr">
        <is>
          <t>New</t>
        </is>
      </c>
      <c r="O27" s="4" t="inlineStr">
        <is>
          <t>Online</t>
        </is>
      </c>
      <c r="P27" s="5" t="n">
        <v>30610.1</v>
      </c>
      <c r="Q27" s="5" t="n">
        <v>97.17</v>
      </c>
      <c r="R27" s="5" t="inlineStr"/>
    </row>
    <row r="28">
      <c r="A28" s="2" t="inlineStr">
        <is>
          <t>ORD-1027</t>
        </is>
      </c>
      <c r="B28" s="3" t="inlineStr">
        <is>
          <t>15-01-2024</t>
        </is>
      </c>
      <c r="C28" s="3" t="inlineStr">
        <is>
          <t>Jan-2024</t>
        </is>
      </c>
      <c r="D28" s="2" t="inlineStr">
        <is>
          <t>North</t>
        </is>
      </c>
      <c r="E28" s="2" t="inlineStr">
        <is>
          <t>Delhi</t>
        </is>
      </c>
      <c r="F28" s="3" t="inlineStr">
        <is>
          <t>Ravi Verma</t>
        </is>
      </c>
      <c r="G28" s="3" t="inlineStr">
        <is>
          <t>Furniture</t>
        </is>
      </c>
      <c r="H28" s="2" t="inlineStr">
        <is>
          <t>Bookshelf</t>
        </is>
      </c>
      <c r="I28" s="2" t="n">
        <v>5</v>
      </c>
      <c r="J28" s="3" t="n">
        <v>217.33</v>
      </c>
      <c r="K28" s="3" t="n">
        <v>1086.65</v>
      </c>
      <c r="L28" s="3" t="n">
        <v>597.66</v>
      </c>
      <c r="M28" s="2" t="n">
        <v>488.99</v>
      </c>
      <c r="N28" s="2" t="inlineStr">
        <is>
          <t>New</t>
        </is>
      </c>
      <c r="O28" s="2" t="inlineStr">
        <is>
          <t>Online</t>
        </is>
      </c>
      <c r="P28" s="3" t="n">
        <v>1070.09</v>
      </c>
      <c r="Q28" s="3" t="n">
        <v>101.55</v>
      </c>
      <c r="R28" s="3" t="inlineStr"/>
    </row>
    <row r="29">
      <c r="A29" s="4" t="inlineStr">
        <is>
          <t>ORD-1028</t>
        </is>
      </c>
      <c r="B29" s="5" t="inlineStr">
        <is>
          <t>16-01-2024</t>
        </is>
      </c>
      <c r="C29" s="5" t="inlineStr">
        <is>
          <t>Jan-2024</t>
        </is>
      </c>
      <c r="D29" s="4" t="inlineStr">
        <is>
          <t>West</t>
        </is>
      </c>
      <c r="E29" s="4" t="inlineStr">
        <is>
          <t>Pune</t>
        </is>
      </c>
      <c r="F29" s="5" t="inlineStr">
        <is>
          <t>Vikram Singh</t>
        </is>
      </c>
      <c r="G29" s="5" t="inlineStr">
        <is>
          <t>Electronics</t>
        </is>
      </c>
      <c r="H29" s="4" t="inlineStr">
        <is>
          <t>Tablet</t>
        </is>
      </c>
      <c r="I29" s="4" t="n">
        <v>4</v>
      </c>
      <c r="J29" s="5" t="n">
        <v>652.67</v>
      </c>
      <c r="K29" s="5" t="n">
        <v>2610.68</v>
      </c>
      <c r="L29" s="5" t="n">
        <v>1566.41</v>
      </c>
      <c r="M29" s="4" t="n">
        <v>1044.27</v>
      </c>
      <c r="N29" s="4" t="inlineStr">
        <is>
          <t>New</t>
        </is>
      </c>
      <c r="O29" s="4" t="inlineStr">
        <is>
          <t>Offline</t>
        </is>
      </c>
      <c r="P29" s="5" t="n">
        <v>2239.22</v>
      </c>
      <c r="Q29" s="5" t="n">
        <v>116.59</v>
      </c>
      <c r="R29" s="5" t="inlineStr"/>
    </row>
    <row r="30">
      <c r="A30" s="2" t="inlineStr">
        <is>
          <t>ORD-1029</t>
        </is>
      </c>
      <c r="B30" s="3" t="inlineStr">
        <is>
          <t>17-01-2024</t>
        </is>
      </c>
      <c r="C30" s="3" t="inlineStr">
        <is>
          <t>Jan-2024</t>
        </is>
      </c>
      <c r="D30" s="2" t="inlineStr">
        <is>
          <t>South</t>
        </is>
      </c>
      <c r="E30" s="2" t="inlineStr">
        <is>
          <t>Bangalore</t>
        </is>
      </c>
      <c r="F30" s="3" t="inlineStr">
        <is>
          <t>Vikram Singh</t>
        </is>
      </c>
      <c r="G30" s="3" t="inlineStr">
        <is>
          <t>Furniture</t>
        </is>
      </c>
      <c r="H30" s="2" t="inlineStr">
        <is>
          <t>Bookshelf</t>
        </is>
      </c>
      <c r="I30" s="2" t="n">
        <v>7</v>
      </c>
      <c r="J30" s="3" t="n">
        <v>207.5</v>
      </c>
      <c r="K30" s="3" t="n">
        <v>1452.5</v>
      </c>
      <c r="L30" s="3" t="n">
        <v>798.88</v>
      </c>
      <c r="M30" s="2" t="n">
        <v>653.62</v>
      </c>
      <c r="N30" s="2" t="inlineStr">
        <is>
          <t>Existing</t>
        </is>
      </c>
      <c r="O30" s="2" t="inlineStr">
        <is>
          <t>Offline</t>
        </is>
      </c>
      <c r="P30" s="3" t="n">
        <v>1344.38</v>
      </c>
      <c r="Q30" s="3" t="n">
        <v>108.04</v>
      </c>
      <c r="R30" s="3" t="inlineStr"/>
    </row>
    <row r="31">
      <c r="A31" s="4" t="inlineStr">
        <is>
          <t>ORD-1030</t>
        </is>
      </c>
      <c r="B31" s="5" t="inlineStr">
        <is>
          <t>18-01-2024</t>
        </is>
      </c>
      <c r="C31" s="5" t="inlineStr">
        <is>
          <t>Jan-2024</t>
        </is>
      </c>
      <c r="D31" s="4" t="inlineStr">
        <is>
          <t>North</t>
        </is>
      </c>
      <c r="E31" s="4" t="inlineStr">
        <is>
          <t>Lucknow</t>
        </is>
      </c>
      <c r="F31" s="5" t="inlineStr">
        <is>
          <t>Amit Kumar</t>
        </is>
      </c>
      <c r="G31" s="5" t="inlineStr">
        <is>
          <t>Apparel</t>
        </is>
      </c>
      <c r="H31" s="4" t="inlineStr">
        <is>
          <t>Jacket</t>
        </is>
      </c>
      <c r="I31" s="4" t="n">
        <v>1</v>
      </c>
      <c r="J31" s="5" t="n">
        <v>116.01</v>
      </c>
      <c r="K31" s="5" t="n">
        <v>116.01</v>
      </c>
      <c r="L31" s="5" t="n">
        <v>52.2</v>
      </c>
      <c r="M31" s="4" t="n">
        <v>63.81</v>
      </c>
      <c r="N31" s="4" t="inlineStr">
        <is>
          <t>New</t>
        </is>
      </c>
      <c r="O31" s="4" t="inlineStr">
        <is>
          <t>Offline</t>
        </is>
      </c>
      <c r="P31" s="5" t="n">
        <v>102.18</v>
      </c>
      <c r="Q31" s="5" t="n">
        <v>113.53</v>
      </c>
      <c r="R31" s="5" t="inlineStr"/>
    </row>
    <row r="32">
      <c r="A32" s="2" t="inlineStr">
        <is>
          <t>ORD-1031</t>
        </is>
      </c>
      <c r="B32" s="3" t="inlineStr">
        <is>
          <t>19-01-2024</t>
        </is>
      </c>
      <c r="C32" s="3" t="inlineStr">
        <is>
          <t>Jan-2024</t>
        </is>
      </c>
      <c r="D32" s="2" t="inlineStr">
        <is>
          <t>West</t>
        </is>
      </c>
      <c r="E32" s="2" t="inlineStr">
        <is>
          <t>Pune</t>
        </is>
      </c>
      <c r="F32" s="3" t="inlineStr">
        <is>
          <t>Rahul Sharma</t>
        </is>
      </c>
      <c r="G32" s="3" t="inlineStr">
        <is>
          <t>Electronics</t>
        </is>
      </c>
      <c r="H32" s="2" t="inlineStr">
        <is>
          <t>Laptop</t>
        </is>
      </c>
      <c r="I32" s="2" t="n">
        <v>5</v>
      </c>
      <c r="J32" s="3" t="n">
        <v>1210.94</v>
      </c>
      <c r="K32" s="3" t="n">
        <v>6054.7</v>
      </c>
      <c r="L32" s="3" t="n">
        <v>3632.82</v>
      </c>
      <c r="M32" s="2" t="n">
        <v>2421.88</v>
      </c>
      <c r="N32" s="2" t="inlineStr">
        <is>
          <t>Existing</t>
        </is>
      </c>
      <c r="O32" s="2" t="inlineStr">
        <is>
          <t>Online</t>
        </is>
      </c>
      <c r="P32" s="3" t="n">
        <v>6144.87</v>
      </c>
      <c r="Q32" s="3" t="n">
        <v>98.53</v>
      </c>
      <c r="R32" s="3" t="inlineStr"/>
    </row>
    <row r="33">
      <c r="A33" s="4" t="inlineStr">
        <is>
          <t>ORD-1032</t>
        </is>
      </c>
      <c r="B33" s="5" t="inlineStr">
        <is>
          <t>19-01-2024</t>
        </is>
      </c>
      <c r="C33" s="5" t="inlineStr">
        <is>
          <t>Jan-2024</t>
        </is>
      </c>
      <c r="D33" s="4" t="inlineStr">
        <is>
          <t>North</t>
        </is>
      </c>
      <c r="E33" s="4" t="inlineStr">
        <is>
          <t>Chandigarh</t>
        </is>
      </c>
      <c r="F33" s="5" t="inlineStr">
        <is>
          <t>Deepa Nair</t>
        </is>
      </c>
      <c r="G33" s="5" t="inlineStr">
        <is>
          <t>Electronics</t>
        </is>
      </c>
      <c r="H33" s="4" t="inlineStr">
        <is>
          <t>Tablet</t>
        </is>
      </c>
      <c r="I33" s="4" t="n">
        <v>7</v>
      </c>
      <c r="J33" s="5" t="n">
        <v>621.85</v>
      </c>
      <c r="K33" s="5" t="n">
        <v>4352.95</v>
      </c>
      <c r="L33" s="5" t="n">
        <v>2611.77</v>
      </c>
      <c r="M33" s="4" t="n">
        <v>1741.18</v>
      </c>
      <c r="N33" s="4" t="inlineStr">
        <is>
          <t>New</t>
        </is>
      </c>
      <c r="O33" s="4" t="inlineStr">
        <is>
          <t>Offline</t>
        </is>
      </c>
      <c r="P33" s="5" t="n">
        <v>5180.26</v>
      </c>
      <c r="Q33" s="5" t="n">
        <v>84.03</v>
      </c>
      <c r="R33" s="5" t="inlineStr"/>
    </row>
    <row r="34">
      <c r="A34" s="2" t="inlineStr">
        <is>
          <t>ORD-1033</t>
        </is>
      </c>
      <c r="B34" s="3" t="inlineStr">
        <is>
          <t>20-01-2024</t>
        </is>
      </c>
      <c r="C34" s="3" t="inlineStr">
        <is>
          <t>Jan-2024</t>
        </is>
      </c>
      <c r="D34" s="2" t="inlineStr">
        <is>
          <t>South</t>
        </is>
      </c>
      <c r="E34" s="2" t="inlineStr">
        <is>
          <t>Chennai</t>
        </is>
      </c>
      <c r="F34" s="3" t="inlineStr">
        <is>
          <t>Arjun Mehta</t>
        </is>
      </c>
      <c r="G34" s="3" t="inlineStr">
        <is>
          <t>Furniture</t>
        </is>
      </c>
      <c r="H34" s="2" t="inlineStr">
        <is>
          <t>Cabinet</t>
        </is>
      </c>
      <c r="I34" s="2" t="n">
        <v>1</v>
      </c>
      <c r="J34" s="3" t="n">
        <v>280.76</v>
      </c>
      <c r="K34" s="3" t="n">
        <v>280.76</v>
      </c>
      <c r="L34" s="3" t="n">
        <v>154.42</v>
      </c>
      <c r="M34" s="2" t="n">
        <v>126.34</v>
      </c>
      <c r="N34" s="2" t="inlineStr">
        <is>
          <t>Existing</t>
        </is>
      </c>
      <c r="O34" s="2" t="inlineStr">
        <is>
          <t>Offline</t>
        </is>
      </c>
      <c r="P34" s="3" t="n">
        <v>337.23</v>
      </c>
      <c r="Q34" s="3" t="n">
        <v>83.25</v>
      </c>
      <c r="R34" s="3" t="inlineStr"/>
    </row>
    <row r="35">
      <c r="A35" s="4" t="inlineStr">
        <is>
          <t>ORD-1034</t>
        </is>
      </c>
      <c r="B35" s="5" t="inlineStr">
        <is>
          <t>20-01-2024</t>
        </is>
      </c>
      <c r="C35" s="5" t="inlineStr">
        <is>
          <t>Jan-2024</t>
        </is>
      </c>
      <c r="D35" s="4" t="inlineStr">
        <is>
          <t>South</t>
        </is>
      </c>
      <c r="E35" s="4" t="inlineStr">
        <is>
          <t>Bangalore</t>
        </is>
      </c>
      <c r="F35" s="5" t="inlineStr">
        <is>
          <t>Arjun Mehta</t>
        </is>
      </c>
      <c r="G35" s="5" t="inlineStr">
        <is>
          <t>Electronics</t>
        </is>
      </c>
      <c r="H35" s="4" t="inlineStr">
        <is>
          <t>Smartwatch</t>
        </is>
      </c>
      <c r="I35" s="4" t="n">
        <v>2</v>
      </c>
      <c r="J35" s="5" t="n">
        <v>321.52</v>
      </c>
      <c r="K35" s="5" t="n">
        <v>643.04</v>
      </c>
      <c r="L35" s="5" t="n">
        <v>385.82</v>
      </c>
      <c r="M35" s="4" t="n">
        <v>257.22</v>
      </c>
      <c r="N35" s="4" t="inlineStr">
        <is>
          <t>New</t>
        </is>
      </c>
      <c r="O35" s="4" t="inlineStr">
        <is>
          <t>Online</t>
        </is>
      </c>
      <c r="P35" s="5" t="n">
        <v>776.98</v>
      </c>
      <c r="Q35" s="5" t="n">
        <v>82.76000000000001</v>
      </c>
      <c r="R35" s="5" t="inlineStr"/>
    </row>
    <row r="36">
      <c r="A36" s="2" t="inlineStr">
        <is>
          <t>ORD-1035</t>
        </is>
      </c>
      <c r="B36" s="3" t="inlineStr">
        <is>
          <t>21-01-2024</t>
        </is>
      </c>
      <c r="C36" s="3" t="inlineStr">
        <is>
          <t>Jan-2024</t>
        </is>
      </c>
      <c r="D36" s="2" t="inlineStr">
        <is>
          <t>East</t>
        </is>
      </c>
      <c r="E36" s="2" t="inlineStr">
        <is>
          <t>Bhubaneswar</t>
        </is>
      </c>
      <c r="F36" s="3" t="inlineStr">
        <is>
          <t>Sneha Reddy</t>
        </is>
      </c>
      <c r="G36" s="3" t="inlineStr">
        <is>
          <t>Furniture</t>
        </is>
      </c>
      <c r="H36" s="2" t="inlineStr">
        <is>
          <t>Office Chair</t>
        </is>
      </c>
      <c r="I36" s="2" t="n">
        <v>7</v>
      </c>
      <c r="J36" s="3" t="n">
        <v>342.89</v>
      </c>
      <c r="K36" s="3" t="n">
        <v>2400.23</v>
      </c>
      <c r="L36" s="3" t="n">
        <v>1320.13</v>
      </c>
      <c r="M36" s="2" t="n">
        <v>1080.1</v>
      </c>
      <c r="N36" s="2" t="inlineStr">
        <is>
          <t>Existing</t>
        </is>
      </c>
      <c r="O36" s="2" t="inlineStr">
        <is>
          <t>Online</t>
        </is>
      </c>
      <c r="P36" s="3" t="n">
        <v>3080.56</v>
      </c>
      <c r="Q36" s="3" t="n">
        <v>77.92</v>
      </c>
      <c r="R36" s="3" t="inlineStr"/>
    </row>
    <row r="37">
      <c r="A37" s="4" t="inlineStr">
        <is>
          <t>ORD-1036</t>
        </is>
      </c>
      <c r="B37" s="5" t="inlineStr">
        <is>
          <t>22-01-2024</t>
        </is>
      </c>
      <c r="C37" s="5" t="inlineStr">
        <is>
          <t>Jan-2024</t>
        </is>
      </c>
      <c r="D37" s="4" t="inlineStr">
        <is>
          <t>East</t>
        </is>
      </c>
      <c r="E37" s="4" t="inlineStr">
        <is>
          <t>Patna</t>
        </is>
      </c>
      <c r="F37" s="5" t="inlineStr">
        <is>
          <t>Ravi Verma</t>
        </is>
      </c>
      <c r="G37" s="5" t="inlineStr">
        <is>
          <t>Software</t>
        </is>
      </c>
      <c r="H37" s="4" t="inlineStr">
        <is>
          <t>Analytics Pro</t>
        </is>
      </c>
      <c r="I37" s="4" t="n">
        <v>1</v>
      </c>
      <c r="J37" s="5" t="n">
        <v>2307.67</v>
      </c>
      <c r="K37" s="5" t="n">
        <v>2307.67</v>
      </c>
      <c r="L37" s="5" t="n">
        <v>692.3</v>
      </c>
      <c r="M37" s="4" t="n">
        <v>1615.37</v>
      </c>
      <c r="N37" s="4" t="inlineStr">
        <is>
          <t>Existing</t>
        </is>
      </c>
      <c r="O37" s="4" t="inlineStr">
        <is>
          <t>Online</t>
        </is>
      </c>
      <c r="P37" s="5" t="n">
        <v>2516.04</v>
      </c>
      <c r="Q37" s="5" t="n">
        <v>91.72</v>
      </c>
      <c r="R37" s="5" t="inlineStr"/>
    </row>
    <row r="38">
      <c r="A38" s="2" t="inlineStr">
        <is>
          <t>ORD-1037</t>
        </is>
      </c>
      <c r="B38" s="3" t="inlineStr">
        <is>
          <t>22-01-2024</t>
        </is>
      </c>
      <c r="C38" s="3" t="inlineStr">
        <is>
          <t>Jan-2024</t>
        </is>
      </c>
      <c r="D38" s="2" t="inlineStr">
        <is>
          <t>East</t>
        </is>
      </c>
      <c r="E38" s="2" t="inlineStr">
        <is>
          <t>Kolkata</t>
        </is>
      </c>
      <c r="F38" s="3" t="inlineStr">
        <is>
          <t>Priya Patel</t>
        </is>
      </c>
      <c r="G38" s="3" t="inlineStr">
        <is>
          <t>Software</t>
        </is>
      </c>
      <c r="H38" s="2" t="inlineStr">
        <is>
          <t>Analytics Pro</t>
        </is>
      </c>
      <c r="I38" s="2" t="n">
        <v>11</v>
      </c>
      <c r="J38" s="3" t="n">
        <v>2468.2</v>
      </c>
      <c r="K38" s="3" t="n">
        <v>27150.2</v>
      </c>
      <c r="L38" s="3" t="n">
        <v>8145.06</v>
      </c>
      <c r="M38" s="2" t="n">
        <v>19005.14</v>
      </c>
      <c r="N38" s="2" t="inlineStr">
        <is>
          <t>New</t>
        </is>
      </c>
      <c r="O38" s="2" t="inlineStr">
        <is>
          <t>Offline</t>
        </is>
      </c>
      <c r="P38" s="3" t="n">
        <v>33931.03</v>
      </c>
      <c r="Q38" s="3" t="n">
        <v>80.02</v>
      </c>
      <c r="R38" s="3" t="inlineStr"/>
    </row>
    <row r="39">
      <c r="A39" s="4" t="inlineStr">
        <is>
          <t>ORD-1038</t>
        </is>
      </c>
      <c r="B39" s="5" t="inlineStr">
        <is>
          <t>23-01-2024</t>
        </is>
      </c>
      <c r="C39" s="5" t="inlineStr">
        <is>
          <t>Jan-2024</t>
        </is>
      </c>
      <c r="D39" s="4" t="inlineStr">
        <is>
          <t>East</t>
        </is>
      </c>
      <c r="E39" s="4" t="inlineStr">
        <is>
          <t>Kolkata</t>
        </is>
      </c>
      <c r="F39" s="5" t="inlineStr">
        <is>
          <t>Amit Kumar</t>
        </is>
      </c>
      <c r="G39" s="5" t="inlineStr">
        <is>
          <t>Electronics</t>
        </is>
      </c>
      <c r="H39" s="4" t="inlineStr">
        <is>
          <t>Smartphone</t>
        </is>
      </c>
      <c r="I39" s="4" t="n">
        <v>12</v>
      </c>
      <c r="J39" s="5" t="n">
        <v>789.01</v>
      </c>
      <c r="K39" s="5" t="n">
        <v>9468.120000000001</v>
      </c>
      <c r="L39" s="5" t="n">
        <v>5680.87</v>
      </c>
      <c r="M39" s="4" t="n">
        <v>3787.25</v>
      </c>
      <c r="N39" s="4" t="inlineStr">
        <is>
          <t>Existing</t>
        </is>
      </c>
      <c r="O39" s="4" t="inlineStr">
        <is>
          <t>Offline</t>
        </is>
      </c>
      <c r="P39" s="5" t="n">
        <v>10715.01</v>
      </c>
      <c r="Q39" s="5" t="n">
        <v>88.36</v>
      </c>
      <c r="R39" s="5" t="inlineStr"/>
    </row>
    <row r="40">
      <c r="A40" s="2" t="inlineStr">
        <is>
          <t>ORD-1039</t>
        </is>
      </c>
      <c r="B40" s="3" t="inlineStr">
        <is>
          <t>24-01-2024</t>
        </is>
      </c>
      <c r="C40" s="3" t="inlineStr">
        <is>
          <t>Jan-2024</t>
        </is>
      </c>
      <c r="D40" s="2" t="inlineStr">
        <is>
          <t>East</t>
        </is>
      </c>
      <c r="E40" s="2" t="inlineStr">
        <is>
          <t>Patna</t>
        </is>
      </c>
      <c r="F40" s="3" t="inlineStr">
        <is>
          <t>Vikram Singh</t>
        </is>
      </c>
      <c r="G40" s="3" t="inlineStr">
        <is>
          <t>Software</t>
        </is>
      </c>
      <c r="H40" s="2" t="inlineStr">
        <is>
          <t>Analytics Pro</t>
        </is>
      </c>
      <c r="I40" s="2" t="n">
        <v>13</v>
      </c>
      <c r="J40" s="3" t="n">
        <v>2598.6</v>
      </c>
      <c r="K40" s="3" t="n">
        <v>33781.8</v>
      </c>
      <c r="L40" s="3" t="n">
        <v>10134.54</v>
      </c>
      <c r="M40" s="2" t="n">
        <v>23647.26</v>
      </c>
      <c r="N40" s="2" t="inlineStr">
        <is>
          <t>New</t>
        </is>
      </c>
      <c r="O40" s="2" t="inlineStr">
        <is>
          <t>Online</t>
        </is>
      </c>
      <c r="P40" s="3" t="n">
        <v>34127.16</v>
      </c>
      <c r="Q40" s="3" t="n">
        <v>98.98999999999999</v>
      </c>
      <c r="R40" s="3" t="inlineStr"/>
    </row>
    <row r="41">
      <c r="A41" s="4" t="inlineStr">
        <is>
          <t>ORD-1040</t>
        </is>
      </c>
      <c r="B41" s="5" t="inlineStr">
        <is>
          <t>25-01-2024</t>
        </is>
      </c>
      <c r="C41" s="5" t="inlineStr">
        <is>
          <t>Jan-2024</t>
        </is>
      </c>
      <c r="D41" s="4" t="inlineStr">
        <is>
          <t>South</t>
        </is>
      </c>
      <c r="E41" s="4" t="inlineStr">
        <is>
          <t>Hyderabad</t>
        </is>
      </c>
      <c r="F41" s="5" t="inlineStr">
        <is>
          <t>Kavita Rao</t>
        </is>
      </c>
      <c r="G41" s="5" t="inlineStr">
        <is>
          <t>Apparel</t>
        </is>
      </c>
      <c r="H41" s="4" t="inlineStr">
        <is>
          <t>Trousers</t>
        </is>
      </c>
      <c r="I41" s="4" t="n">
        <v>18</v>
      </c>
      <c r="J41" s="5" t="n">
        <v>74.67</v>
      </c>
      <c r="K41" s="5" t="n">
        <v>1344.06</v>
      </c>
      <c r="L41" s="5" t="n">
        <v>604.83</v>
      </c>
      <c r="M41" s="4" t="n">
        <v>739.23</v>
      </c>
      <c r="N41" s="4" t="inlineStr">
        <is>
          <t>Existing</t>
        </is>
      </c>
      <c r="O41" s="4" t="inlineStr">
        <is>
          <t>Offline</t>
        </is>
      </c>
      <c r="P41" s="5" t="n">
        <v>1216.5</v>
      </c>
      <c r="Q41" s="5" t="n">
        <v>110.49</v>
      </c>
      <c r="R41" s="5" t="inlineStr"/>
    </row>
    <row r="42">
      <c r="A42" s="2" t="inlineStr">
        <is>
          <t>ORD-1041</t>
        </is>
      </c>
      <c r="B42" s="3" t="inlineStr">
        <is>
          <t>25-01-2024</t>
        </is>
      </c>
      <c r="C42" s="3" t="inlineStr">
        <is>
          <t>Jan-2024</t>
        </is>
      </c>
      <c r="D42" s="2" t="inlineStr">
        <is>
          <t>East</t>
        </is>
      </c>
      <c r="E42" s="2" t="inlineStr">
        <is>
          <t>Bhubaneswar</t>
        </is>
      </c>
      <c r="F42" s="3" t="inlineStr">
        <is>
          <t>Pooja Joshi</t>
        </is>
      </c>
      <c r="G42" s="3" t="inlineStr">
        <is>
          <t>Software</t>
        </is>
      </c>
      <c r="H42" s="2" t="inlineStr">
        <is>
          <t>CRM Tool</t>
        </is>
      </c>
      <c r="I42" s="2" t="n">
        <v>17</v>
      </c>
      <c r="J42" s="3" t="n">
        <v>2983.91</v>
      </c>
      <c r="K42" s="3" t="n">
        <v>50726.47</v>
      </c>
      <c r="L42" s="3" t="n">
        <v>15217.94</v>
      </c>
      <c r="M42" s="2" t="n">
        <v>35508.53</v>
      </c>
      <c r="N42" s="2" t="inlineStr">
        <is>
          <t>New</t>
        </is>
      </c>
      <c r="O42" s="2" t="inlineStr">
        <is>
          <t>Online</t>
        </is>
      </c>
      <c r="P42" s="3" t="n">
        <v>47778.92</v>
      </c>
      <c r="Q42" s="3" t="n">
        <v>106.17</v>
      </c>
      <c r="R42" s="3" t="inlineStr"/>
    </row>
    <row r="43">
      <c r="A43" s="4" t="inlineStr">
        <is>
          <t>ORD-1042</t>
        </is>
      </c>
      <c r="B43" s="5" t="inlineStr">
        <is>
          <t>26-01-2024</t>
        </is>
      </c>
      <c r="C43" s="5" t="inlineStr">
        <is>
          <t>Jan-2024</t>
        </is>
      </c>
      <c r="D43" s="4" t="inlineStr">
        <is>
          <t>East</t>
        </is>
      </c>
      <c r="E43" s="4" t="inlineStr">
        <is>
          <t>Kolkata</t>
        </is>
      </c>
      <c r="F43" s="5" t="inlineStr">
        <is>
          <t>Sneha Reddy</t>
        </is>
      </c>
      <c r="G43" s="5" t="inlineStr">
        <is>
          <t>Apparel</t>
        </is>
      </c>
      <c r="H43" s="4" t="inlineStr">
        <is>
          <t>Formal Shirt</t>
        </is>
      </c>
      <c r="I43" s="4" t="n">
        <v>7</v>
      </c>
      <c r="J43" s="5" t="n">
        <v>74.36</v>
      </c>
      <c r="K43" s="5" t="n">
        <v>520.52</v>
      </c>
      <c r="L43" s="5" t="n">
        <v>234.23</v>
      </c>
      <c r="M43" s="4" t="n">
        <v>286.29</v>
      </c>
      <c r="N43" s="4" t="inlineStr">
        <is>
          <t>New</t>
        </is>
      </c>
      <c r="O43" s="4" t="inlineStr">
        <is>
          <t>Online</t>
        </is>
      </c>
      <c r="P43" s="5" t="n">
        <v>672.5</v>
      </c>
      <c r="Q43" s="5" t="n">
        <v>77.40000000000001</v>
      </c>
      <c r="R43" s="5" t="inlineStr"/>
    </row>
    <row r="44">
      <c r="A44" s="2" t="inlineStr">
        <is>
          <t>ORD-1043</t>
        </is>
      </c>
      <c r="B44" s="3" t="inlineStr">
        <is>
          <t>26-01-2024</t>
        </is>
      </c>
      <c r="C44" s="3" t="inlineStr">
        <is>
          <t>Jan-2024</t>
        </is>
      </c>
      <c r="D44" s="2" t="inlineStr">
        <is>
          <t>North</t>
        </is>
      </c>
      <c r="E44" s="2" t="inlineStr">
        <is>
          <t>Chandigarh</t>
        </is>
      </c>
      <c r="F44" s="3" t="inlineStr">
        <is>
          <t>Amit Kumar</t>
        </is>
      </c>
      <c r="G44" s="3" t="inlineStr">
        <is>
          <t>Furniture</t>
        </is>
      </c>
      <c r="H44" s="2" t="inlineStr">
        <is>
          <t>Cabinet</t>
        </is>
      </c>
      <c r="I44" s="2" t="n">
        <v>16</v>
      </c>
      <c r="J44" s="3" t="n">
        <v>293.98</v>
      </c>
      <c r="K44" s="3" t="n">
        <v>4703.68</v>
      </c>
      <c r="L44" s="3" t="n">
        <v>2587.02</v>
      </c>
      <c r="M44" s="2" t="n">
        <v>2116.66</v>
      </c>
      <c r="N44" s="2" t="inlineStr">
        <is>
          <t>New</t>
        </is>
      </c>
      <c r="O44" s="2" t="inlineStr">
        <is>
          <t>Online</t>
        </is>
      </c>
      <c r="P44" s="3" t="n">
        <v>5862.34</v>
      </c>
      <c r="Q44" s="3" t="n">
        <v>80.23999999999999</v>
      </c>
      <c r="R44" s="3" t="inlineStr"/>
    </row>
    <row r="45">
      <c r="A45" s="4" t="inlineStr">
        <is>
          <t>ORD-1044</t>
        </is>
      </c>
      <c r="B45" s="5" t="inlineStr">
        <is>
          <t>26-01-2024</t>
        </is>
      </c>
      <c r="C45" s="5" t="inlineStr">
        <is>
          <t>Jan-2024</t>
        </is>
      </c>
      <c r="D45" s="4" t="inlineStr">
        <is>
          <t>North</t>
        </is>
      </c>
      <c r="E45" s="4" t="inlineStr">
        <is>
          <t>Chandigarh</t>
        </is>
      </c>
      <c r="F45" s="5" t="inlineStr">
        <is>
          <t>Sneha Reddy</t>
        </is>
      </c>
      <c r="G45" s="5" t="inlineStr">
        <is>
          <t>Furniture</t>
        </is>
      </c>
      <c r="H45" s="4" t="inlineStr">
        <is>
          <t>Cabinet</t>
        </is>
      </c>
      <c r="I45" s="4" t="n">
        <v>2</v>
      </c>
      <c r="J45" s="5" t="n">
        <v>303.44</v>
      </c>
      <c r="K45" s="5" t="n">
        <v>606.88</v>
      </c>
      <c r="L45" s="5" t="n">
        <v>333.78</v>
      </c>
      <c r="M45" s="4" t="n">
        <v>273.1</v>
      </c>
      <c r="N45" s="4" t="inlineStr">
        <is>
          <t>New</t>
        </is>
      </c>
      <c r="O45" s="4" t="inlineStr">
        <is>
          <t>Offline</t>
        </is>
      </c>
      <c r="P45" s="5" t="n">
        <v>525.96</v>
      </c>
      <c r="Q45" s="5" t="n">
        <v>115.39</v>
      </c>
      <c r="R45" s="5" t="inlineStr"/>
    </row>
    <row r="46">
      <c r="A46" s="2" t="inlineStr">
        <is>
          <t>ORD-1045</t>
        </is>
      </c>
      <c r="B46" s="3" t="inlineStr">
        <is>
          <t>27-01-2024</t>
        </is>
      </c>
      <c r="C46" s="3" t="inlineStr">
        <is>
          <t>Jan-2024</t>
        </is>
      </c>
      <c r="D46" s="2" t="inlineStr">
        <is>
          <t>East</t>
        </is>
      </c>
      <c r="E46" s="2" t="inlineStr">
        <is>
          <t>Bhubaneswar</t>
        </is>
      </c>
      <c r="F46" s="3" t="inlineStr">
        <is>
          <t>Kavita Rao</t>
        </is>
      </c>
      <c r="G46" s="3" t="inlineStr">
        <is>
          <t>Software</t>
        </is>
      </c>
      <c r="H46" s="2" t="inlineStr">
        <is>
          <t>HR System</t>
        </is>
      </c>
      <c r="I46" s="2" t="n">
        <v>6</v>
      </c>
      <c r="J46" s="3" t="n">
        <v>2097.46</v>
      </c>
      <c r="K46" s="3" t="n">
        <v>12584.76</v>
      </c>
      <c r="L46" s="3" t="n">
        <v>3775.43</v>
      </c>
      <c r="M46" s="2" t="n">
        <v>8809.33</v>
      </c>
      <c r="N46" s="2" t="inlineStr">
        <is>
          <t>Existing</t>
        </is>
      </c>
      <c r="O46" s="2" t="inlineStr">
        <is>
          <t>Offline</t>
        </is>
      </c>
      <c r="P46" s="3" t="n">
        <v>11698.74</v>
      </c>
      <c r="Q46" s="3" t="n">
        <v>107.57</v>
      </c>
      <c r="R46" s="3" t="inlineStr"/>
    </row>
    <row r="47">
      <c r="A47" s="4" t="inlineStr">
        <is>
          <t>ORD-1046</t>
        </is>
      </c>
      <c r="B47" s="5" t="inlineStr">
        <is>
          <t>27-01-2024</t>
        </is>
      </c>
      <c r="C47" s="5" t="inlineStr">
        <is>
          <t>Jan-2024</t>
        </is>
      </c>
      <c r="D47" s="4" t="inlineStr">
        <is>
          <t>South</t>
        </is>
      </c>
      <c r="E47" s="4" t="inlineStr">
        <is>
          <t>Hyderabad</t>
        </is>
      </c>
      <c r="F47" s="5" t="inlineStr">
        <is>
          <t>Vikram Singh</t>
        </is>
      </c>
      <c r="G47" s="5" t="inlineStr">
        <is>
          <t>Software</t>
        </is>
      </c>
      <c r="H47" s="4" t="inlineStr">
        <is>
          <t>CRM Tool</t>
        </is>
      </c>
      <c r="I47" s="4" t="n">
        <v>9</v>
      </c>
      <c r="J47" s="5" t="n">
        <v>2963.92</v>
      </c>
      <c r="K47" s="5" t="n">
        <v>26675.28</v>
      </c>
      <c r="L47" s="5" t="n">
        <v>8002.58</v>
      </c>
      <c r="M47" s="4" t="n">
        <v>18672.7</v>
      </c>
      <c r="N47" s="4" t="inlineStr">
        <is>
          <t>Existing</t>
        </is>
      </c>
      <c r="O47" s="4" t="inlineStr">
        <is>
          <t>Online</t>
        </is>
      </c>
      <c r="P47" s="5" t="n">
        <v>24964.26</v>
      </c>
      <c r="Q47" s="5" t="n">
        <v>106.85</v>
      </c>
      <c r="R47" s="5" t="inlineStr"/>
    </row>
    <row r="48">
      <c r="A48" s="2" t="inlineStr">
        <is>
          <t>ORD-1047</t>
        </is>
      </c>
      <c r="B48" s="3" t="inlineStr">
        <is>
          <t>28-01-2024</t>
        </is>
      </c>
      <c r="C48" s="3" t="inlineStr">
        <is>
          <t>Jan-2024</t>
        </is>
      </c>
      <c r="D48" s="2" t="inlineStr">
        <is>
          <t>North</t>
        </is>
      </c>
      <c r="E48" s="2" t="inlineStr">
        <is>
          <t>Delhi</t>
        </is>
      </c>
      <c r="F48" s="3" t="inlineStr">
        <is>
          <t>Arjun Mehta</t>
        </is>
      </c>
      <c r="G48" s="3" t="inlineStr">
        <is>
          <t>Furniture</t>
        </is>
      </c>
      <c r="H48" s="2" t="inlineStr">
        <is>
          <t>Cabinet</t>
        </is>
      </c>
      <c r="I48" s="2" t="n">
        <v>5</v>
      </c>
      <c r="J48" s="3" t="n">
        <v>312.39</v>
      </c>
      <c r="K48" s="3" t="n">
        <v>1561.95</v>
      </c>
      <c r="L48" s="3" t="n">
        <v>859.0700000000001</v>
      </c>
      <c r="M48" s="2" t="n">
        <v>702.88</v>
      </c>
      <c r="N48" s="2" t="inlineStr">
        <is>
          <t>New</t>
        </is>
      </c>
      <c r="O48" s="2" t="inlineStr">
        <is>
          <t>Offline</t>
        </is>
      </c>
      <c r="P48" s="3" t="n">
        <v>1567.88</v>
      </c>
      <c r="Q48" s="3" t="n">
        <v>99.62</v>
      </c>
      <c r="R48" s="3" t="inlineStr"/>
    </row>
    <row r="49">
      <c r="A49" s="4" t="inlineStr">
        <is>
          <t>ORD-1048</t>
        </is>
      </c>
      <c r="B49" s="5" t="inlineStr">
        <is>
          <t>29-01-2024</t>
        </is>
      </c>
      <c r="C49" s="5" t="inlineStr">
        <is>
          <t>Jan-2024</t>
        </is>
      </c>
      <c r="D49" s="4" t="inlineStr">
        <is>
          <t>West</t>
        </is>
      </c>
      <c r="E49" s="4" t="inlineStr">
        <is>
          <t>Ahmedabad</t>
        </is>
      </c>
      <c r="F49" s="5" t="inlineStr">
        <is>
          <t>Rahul Sharma</t>
        </is>
      </c>
      <c r="G49" s="5" t="inlineStr">
        <is>
          <t>Furniture</t>
        </is>
      </c>
      <c r="H49" s="4" t="inlineStr">
        <is>
          <t>Cabinet</t>
        </is>
      </c>
      <c r="I49" s="4" t="n">
        <v>13</v>
      </c>
      <c r="J49" s="5" t="n">
        <v>324.29</v>
      </c>
      <c r="K49" s="5" t="n">
        <v>4215.77</v>
      </c>
      <c r="L49" s="5" t="n">
        <v>2318.67</v>
      </c>
      <c r="M49" s="4" t="n">
        <v>1897.1</v>
      </c>
      <c r="N49" s="4" t="inlineStr">
        <is>
          <t>New</t>
        </is>
      </c>
      <c r="O49" s="4" t="inlineStr">
        <is>
          <t>Offline</t>
        </is>
      </c>
      <c r="P49" s="5" t="n">
        <v>4378.03</v>
      </c>
      <c r="Q49" s="5" t="n">
        <v>96.29000000000001</v>
      </c>
      <c r="R49" s="5" t="inlineStr"/>
    </row>
    <row r="50">
      <c r="A50" s="2" t="inlineStr">
        <is>
          <t>ORD-1049</t>
        </is>
      </c>
      <c r="B50" s="3" t="inlineStr">
        <is>
          <t>29-01-2024</t>
        </is>
      </c>
      <c r="C50" s="3" t="inlineStr">
        <is>
          <t>Jan-2024</t>
        </is>
      </c>
      <c r="D50" s="2" t="inlineStr">
        <is>
          <t>East</t>
        </is>
      </c>
      <c r="E50" s="2" t="inlineStr">
        <is>
          <t>Bhubaneswar</t>
        </is>
      </c>
      <c r="F50" s="3" t="inlineStr">
        <is>
          <t>Amit Kumar</t>
        </is>
      </c>
      <c r="G50" s="3" t="inlineStr">
        <is>
          <t>Software</t>
        </is>
      </c>
      <c r="H50" s="2" t="inlineStr">
        <is>
          <t>CRM Tool</t>
        </is>
      </c>
      <c r="I50" s="2" t="n">
        <v>16</v>
      </c>
      <c r="J50" s="3" t="n">
        <v>2831.65</v>
      </c>
      <c r="K50" s="3" t="n">
        <v>45306.4</v>
      </c>
      <c r="L50" s="3" t="n">
        <v>13591.92</v>
      </c>
      <c r="M50" s="2" t="n">
        <v>31714.48</v>
      </c>
      <c r="N50" s="2" t="inlineStr">
        <is>
          <t>Existing</t>
        </is>
      </c>
      <c r="O50" s="2" t="inlineStr">
        <is>
          <t>Offline</t>
        </is>
      </c>
      <c r="P50" s="3" t="n">
        <v>36902.63</v>
      </c>
      <c r="Q50" s="3" t="n">
        <v>122.77</v>
      </c>
      <c r="R50" s="3" t="inlineStr"/>
    </row>
    <row r="51">
      <c r="A51" s="4" t="inlineStr">
        <is>
          <t>ORD-1050</t>
        </is>
      </c>
      <c r="B51" s="5" t="inlineStr">
        <is>
          <t>29-01-2024</t>
        </is>
      </c>
      <c r="C51" s="5" t="inlineStr">
        <is>
          <t>Jan-2024</t>
        </is>
      </c>
      <c r="D51" s="4" t="inlineStr">
        <is>
          <t>East</t>
        </is>
      </c>
      <c r="E51" s="4" t="inlineStr">
        <is>
          <t>Patna</t>
        </is>
      </c>
      <c r="F51" s="5" t="inlineStr">
        <is>
          <t>Amit Kumar</t>
        </is>
      </c>
      <c r="G51" s="5" t="inlineStr">
        <is>
          <t>Furniture</t>
        </is>
      </c>
      <c r="H51" s="4" t="inlineStr">
        <is>
          <t>Cabinet</t>
        </is>
      </c>
      <c r="I51" s="4" t="n">
        <v>5</v>
      </c>
      <c r="J51" s="5" t="n">
        <v>328.84</v>
      </c>
      <c r="K51" s="5" t="n">
        <v>1644.2</v>
      </c>
      <c r="L51" s="5" t="n">
        <v>904.3099999999999</v>
      </c>
      <c r="M51" s="4" t="n">
        <v>739.89</v>
      </c>
      <c r="N51" s="4" t="inlineStr">
        <is>
          <t>New</t>
        </is>
      </c>
      <c r="O51" s="4" t="inlineStr">
        <is>
          <t>Offline</t>
        </is>
      </c>
      <c r="P51" s="5" t="n">
        <v>1801.96</v>
      </c>
      <c r="Q51" s="5" t="n">
        <v>91.25</v>
      </c>
      <c r="R51" s="5" t="inlineStr"/>
    </row>
    <row r="52">
      <c r="A52" s="2" t="inlineStr">
        <is>
          <t>ORD-1051</t>
        </is>
      </c>
      <c r="B52" s="3" t="inlineStr">
        <is>
          <t>30-01-2024</t>
        </is>
      </c>
      <c r="C52" s="3" t="inlineStr">
        <is>
          <t>Jan-2024</t>
        </is>
      </c>
      <c r="D52" s="2" t="inlineStr">
        <is>
          <t>North</t>
        </is>
      </c>
      <c r="E52" s="2" t="inlineStr">
        <is>
          <t>Delhi</t>
        </is>
      </c>
      <c r="F52" s="3" t="inlineStr">
        <is>
          <t>Amit Kumar</t>
        </is>
      </c>
      <c r="G52" s="3" t="inlineStr">
        <is>
          <t>Furniture</t>
        </is>
      </c>
      <c r="H52" s="2" t="inlineStr">
        <is>
          <t>Cabinet</t>
        </is>
      </c>
      <c r="I52" s="2" t="n">
        <v>6</v>
      </c>
      <c r="J52" s="3" t="n">
        <v>273.02</v>
      </c>
      <c r="K52" s="3" t="n">
        <v>1638.12</v>
      </c>
      <c r="L52" s="3" t="n">
        <v>900.97</v>
      </c>
      <c r="M52" s="2" t="n">
        <v>737.15</v>
      </c>
      <c r="N52" s="2" t="inlineStr">
        <is>
          <t>Existing</t>
        </is>
      </c>
      <c r="O52" s="2" t="inlineStr">
        <is>
          <t>Offline</t>
        </is>
      </c>
      <c r="P52" s="3" t="n">
        <v>1483.86</v>
      </c>
      <c r="Q52" s="3" t="n">
        <v>110.4</v>
      </c>
      <c r="R52" s="3" t="inlineStr"/>
    </row>
    <row r="53">
      <c r="A53" s="4" t="inlineStr">
        <is>
          <t>ORD-1052</t>
        </is>
      </c>
      <c r="B53" s="5" t="inlineStr">
        <is>
          <t>30-01-2024</t>
        </is>
      </c>
      <c r="C53" s="5" t="inlineStr">
        <is>
          <t>Jan-2024</t>
        </is>
      </c>
      <c r="D53" s="4" t="inlineStr">
        <is>
          <t>East</t>
        </is>
      </c>
      <c r="E53" s="4" t="inlineStr">
        <is>
          <t>Bhubaneswar</t>
        </is>
      </c>
      <c r="F53" s="5" t="inlineStr">
        <is>
          <t>Amit Kumar</t>
        </is>
      </c>
      <c r="G53" s="5" t="inlineStr">
        <is>
          <t>Apparel</t>
        </is>
      </c>
      <c r="H53" s="4" t="inlineStr">
        <is>
          <t>Trousers</t>
        </is>
      </c>
      <c r="I53" s="4" t="n">
        <v>9</v>
      </c>
      <c r="J53" s="5" t="n">
        <v>74.69</v>
      </c>
      <c r="K53" s="5" t="n">
        <v>672.21</v>
      </c>
      <c r="L53" s="5" t="n">
        <v>302.49</v>
      </c>
      <c r="M53" s="4" t="n">
        <v>369.72</v>
      </c>
      <c r="N53" s="4" t="inlineStr">
        <is>
          <t>Existing</t>
        </is>
      </c>
      <c r="O53" s="4" t="inlineStr">
        <is>
          <t>Online</t>
        </is>
      </c>
      <c r="P53" s="5" t="n">
        <v>789.52</v>
      </c>
      <c r="Q53" s="5" t="n">
        <v>85.14</v>
      </c>
      <c r="R53" s="5" t="inlineStr"/>
    </row>
    <row r="54">
      <c r="A54" s="2" t="inlineStr">
        <is>
          <t>ORD-1053</t>
        </is>
      </c>
      <c r="B54" s="3" t="inlineStr">
        <is>
          <t>30-01-2024</t>
        </is>
      </c>
      <c r="C54" s="3" t="inlineStr">
        <is>
          <t>Jan-2024</t>
        </is>
      </c>
      <c r="D54" s="2" t="inlineStr">
        <is>
          <t>North</t>
        </is>
      </c>
      <c r="E54" s="2" t="inlineStr">
        <is>
          <t>Chandigarh</t>
        </is>
      </c>
      <c r="F54" s="3" t="inlineStr">
        <is>
          <t>Sneha Reddy</t>
        </is>
      </c>
      <c r="G54" s="3" t="inlineStr">
        <is>
          <t>Electronics</t>
        </is>
      </c>
      <c r="H54" s="2" t="inlineStr">
        <is>
          <t>Laptop</t>
        </is>
      </c>
      <c r="I54" s="2" t="n">
        <v>1</v>
      </c>
      <c r="J54" s="3" t="n">
        <v>1307.91</v>
      </c>
      <c r="K54" s="3" t="n">
        <v>1307.91</v>
      </c>
      <c r="L54" s="3" t="n">
        <v>784.75</v>
      </c>
      <c r="M54" s="2" t="n">
        <v>523.16</v>
      </c>
      <c r="N54" s="2" t="inlineStr">
        <is>
          <t>New</t>
        </is>
      </c>
      <c r="O54" s="2" t="inlineStr">
        <is>
          <t>Online</t>
        </is>
      </c>
      <c r="P54" s="3" t="n">
        <v>1452.65</v>
      </c>
      <c r="Q54" s="3" t="n">
        <v>90.04000000000001</v>
      </c>
      <c r="R54" s="3" t="inlineStr"/>
    </row>
    <row r="55">
      <c r="A55" s="4" t="inlineStr">
        <is>
          <t>ORD-1054</t>
        </is>
      </c>
      <c r="B55" s="5" t="inlineStr">
        <is>
          <t>31-01-2024</t>
        </is>
      </c>
      <c r="C55" s="5" t="inlineStr">
        <is>
          <t>Jan-2024</t>
        </is>
      </c>
      <c r="D55" s="4" t="inlineStr">
        <is>
          <t>South</t>
        </is>
      </c>
      <c r="E55" s="4" t="inlineStr">
        <is>
          <t>Bangalore</t>
        </is>
      </c>
      <c r="F55" s="5" t="inlineStr">
        <is>
          <t>Priya Patel</t>
        </is>
      </c>
      <c r="G55" s="5" t="inlineStr">
        <is>
          <t>Furniture</t>
        </is>
      </c>
      <c r="H55" s="4" t="inlineStr">
        <is>
          <t>Cabinet</t>
        </is>
      </c>
      <c r="I55" s="4" t="n">
        <v>9</v>
      </c>
      <c r="J55" s="5" t="n">
        <v>316.01</v>
      </c>
      <c r="K55" s="5" t="n">
        <v>2844.09</v>
      </c>
      <c r="L55" s="5" t="n">
        <v>1564.25</v>
      </c>
      <c r="M55" s="4" t="n">
        <v>1279.84</v>
      </c>
      <c r="N55" s="4" t="inlineStr">
        <is>
          <t>New</t>
        </is>
      </c>
      <c r="O55" s="4" t="inlineStr">
        <is>
          <t>Online</t>
        </is>
      </c>
      <c r="P55" s="5" t="n">
        <v>3381.33</v>
      </c>
      <c r="Q55" s="5" t="n">
        <v>84.11</v>
      </c>
      <c r="R55" s="5" t="inlineStr"/>
    </row>
    <row r="56">
      <c r="A56" s="2" t="inlineStr">
        <is>
          <t>ORD-1055</t>
        </is>
      </c>
      <c r="B56" s="3" t="inlineStr">
        <is>
          <t>01-02-2024</t>
        </is>
      </c>
      <c r="C56" s="3" t="inlineStr">
        <is>
          <t>Feb-2024</t>
        </is>
      </c>
      <c r="D56" s="2" t="inlineStr">
        <is>
          <t>East</t>
        </is>
      </c>
      <c r="E56" s="2" t="inlineStr">
        <is>
          <t>Kolkata</t>
        </is>
      </c>
      <c r="F56" s="3" t="inlineStr">
        <is>
          <t>Kavita Rao</t>
        </is>
      </c>
      <c r="G56" s="3" t="inlineStr">
        <is>
          <t>Electronics</t>
        </is>
      </c>
      <c r="H56" s="2" t="inlineStr">
        <is>
          <t>Tablet</t>
        </is>
      </c>
      <c r="I56" s="2" t="n">
        <v>19</v>
      </c>
      <c r="J56" s="3" t="n">
        <v>621.28</v>
      </c>
      <c r="K56" s="3" t="n">
        <v>11804.32</v>
      </c>
      <c r="L56" s="3" t="n">
        <v>7082.59</v>
      </c>
      <c r="M56" s="2" t="n">
        <v>4721.73</v>
      </c>
      <c r="N56" s="2" t="inlineStr">
        <is>
          <t>Existing</t>
        </is>
      </c>
      <c r="O56" s="2" t="inlineStr">
        <is>
          <t>Offline</t>
        </is>
      </c>
      <c r="P56" s="3" t="n">
        <v>15000.17</v>
      </c>
      <c r="Q56" s="3" t="n">
        <v>78.69</v>
      </c>
      <c r="R56" s="3" t="inlineStr"/>
    </row>
    <row r="57">
      <c r="A57" s="4" t="inlineStr">
        <is>
          <t>ORD-1056</t>
        </is>
      </c>
      <c r="B57" s="5" t="inlineStr">
        <is>
          <t>02-02-2024</t>
        </is>
      </c>
      <c r="C57" s="5" t="inlineStr">
        <is>
          <t>Feb-2024</t>
        </is>
      </c>
      <c r="D57" s="4" t="inlineStr">
        <is>
          <t>North</t>
        </is>
      </c>
      <c r="E57" s="4" t="inlineStr">
        <is>
          <t>Lucknow</t>
        </is>
      </c>
      <c r="F57" s="5" t="inlineStr">
        <is>
          <t>Sneha Reddy</t>
        </is>
      </c>
      <c r="G57" s="5" t="inlineStr">
        <is>
          <t>Electronics</t>
        </is>
      </c>
      <c r="H57" s="4" t="inlineStr">
        <is>
          <t>Tablet</t>
        </is>
      </c>
      <c r="I57" s="4" t="n">
        <v>20</v>
      </c>
      <c r="J57" s="5" t="n">
        <v>636.66</v>
      </c>
      <c r="K57" s="5" t="n">
        <v>12733.2</v>
      </c>
      <c r="L57" s="5" t="n">
        <v>7639.92</v>
      </c>
      <c r="M57" s="4" t="n">
        <v>5093.28</v>
      </c>
      <c r="N57" s="4" t="inlineStr">
        <is>
          <t>New</t>
        </is>
      </c>
      <c r="O57" s="4" t="inlineStr">
        <is>
          <t>Offline</t>
        </is>
      </c>
      <c r="P57" s="5" t="n">
        <v>13578.34</v>
      </c>
      <c r="Q57" s="5" t="n">
        <v>93.78</v>
      </c>
      <c r="R57" s="5" t="inlineStr"/>
    </row>
    <row r="58">
      <c r="A58" s="2" t="inlineStr">
        <is>
          <t>ORD-1057</t>
        </is>
      </c>
      <c r="B58" s="3" t="inlineStr">
        <is>
          <t>03-02-2024</t>
        </is>
      </c>
      <c r="C58" s="3" t="inlineStr">
        <is>
          <t>Feb-2024</t>
        </is>
      </c>
      <c r="D58" s="2" t="inlineStr">
        <is>
          <t>East</t>
        </is>
      </c>
      <c r="E58" s="2" t="inlineStr">
        <is>
          <t>Kolkata</t>
        </is>
      </c>
      <c r="F58" s="3" t="inlineStr">
        <is>
          <t>Ravi Verma</t>
        </is>
      </c>
      <c r="G58" s="3" t="inlineStr">
        <is>
          <t>Apparel</t>
        </is>
      </c>
      <c r="H58" s="2" t="inlineStr">
        <is>
          <t>Jacket</t>
        </is>
      </c>
      <c r="I58" s="2" t="n">
        <v>14</v>
      </c>
      <c r="J58" s="3" t="n">
        <v>127.74</v>
      </c>
      <c r="K58" s="3" t="n">
        <v>1788.36</v>
      </c>
      <c r="L58" s="3" t="n">
        <v>804.76</v>
      </c>
      <c r="M58" s="2" t="n">
        <v>983.6</v>
      </c>
      <c r="N58" s="2" t="inlineStr">
        <is>
          <t>New</t>
        </is>
      </c>
      <c r="O58" s="2" t="inlineStr">
        <is>
          <t>Offline</t>
        </is>
      </c>
      <c r="P58" s="3" t="n">
        <v>2289.81</v>
      </c>
      <c r="Q58" s="3" t="n">
        <v>78.09999999999999</v>
      </c>
      <c r="R58" s="3" t="inlineStr"/>
    </row>
    <row r="59">
      <c r="A59" s="4" t="inlineStr">
        <is>
          <t>ORD-1058</t>
        </is>
      </c>
      <c r="B59" s="5" t="inlineStr">
        <is>
          <t>03-02-2024</t>
        </is>
      </c>
      <c r="C59" s="5" t="inlineStr">
        <is>
          <t>Feb-2024</t>
        </is>
      </c>
      <c r="D59" s="4" t="inlineStr">
        <is>
          <t>West</t>
        </is>
      </c>
      <c r="E59" s="4" t="inlineStr">
        <is>
          <t>Pune</t>
        </is>
      </c>
      <c r="F59" s="5" t="inlineStr">
        <is>
          <t>Arjun Mehta</t>
        </is>
      </c>
      <c r="G59" s="5" t="inlineStr">
        <is>
          <t>Software</t>
        </is>
      </c>
      <c r="H59" s="4" t="inlineStr">
        <is>
          <t>CRM Tool</t>
        </is>
      </c>
      <c r="I59" s="4" t="n">
        <v>17</v>
      </c>
      <c r="J59" s="5" t="n">
        <v>3279.28</v>
      </c>
      <c r="K59" s="5" t="n">
        <v>55747.76</v>
      </c>
      <c r="L59" s="5" t="n">
        <v>16724.33</v>
      </c>
      <c r="M59" s="4" t="n">
        <v>39023.43</v>
      </c>
      <c r="N59" s="4" t="inlineStr">
        <is>
          <t>Existing</t>
        </is>
      </c>
      <c r="O59" s="4" t="inlineStr">
        <is>
          <t>Offline</t>
        </is>
      </c>
      <c r="P59" s="5" t="n">
        <v>57556.04</v>
      </c>
      <c r="Q59" s="5" t="n">
        <v>96.86</v>
      </c>
      <c r="R59" s="5" t="inlineStr"/>
    </row>
    <row r="60">
      <c r="A60" s="2" t="inlineStr">
        <is>
          <t>ORD-1059</t>
        </is>
      </c>
      <c r="B60" s="3" t="inlineStr">
        <is>
          <t>03-02-2024</t>
        </is>
      </c>
      <c r="C60" s="3" t="inlineStr">
        <is>
          <t>Feb-2024</t>
        </is>
      </c>
      <c r="D60" s="2" t="inlineStr">
        <is>
          <t>East</t>
        </is>
      </c>
      <c r="E60" s="2" t="inlineStr">
        <is>
          <t>Bhubaneswar</t>
        </is>
      </c>
      <c r="F60" s="3" t="inlineStr">
        <is>
          <t>Sneha Reddy</t>
        </is>
      </c>
      <c r="G60" s="3" t="inlineStr">
        <is>
          <t>Electronics</t>
        </is>
      </c>
      <c r="H60" s="2" t="inlineStr">
        <is>
          <t>Tablet</t>
        </is>
      </c>
      <c r="I60" s="2" t="n">
        <v>15</v>
      </c>
      <c r="J60" s="3" t="n">
        <v>569.26</v>
      </c>
      <c r="K60" s="3" t="n">
        <v>8538.9</v>
      </c>
      <c r="L60" s="3" t="n">
        <v>5123.34</v>
      </c>
      <c r="M60" s="2" t="n">
        <v>3415.56</v>
      </c>
      <c r="N60" s="2" t="inlineStr">
        <is>
          <t>Existing</t>
        </is>
      </c>
      <c r="O60" s="2" t="inlineStr">
        <is>
          <t>Offline</t>
        </is>
      </c>
      <c r="P60" s="3" t="n">
        <v>8267.35</v>
      </c>
      <c r="Q60" s="3" t="n">
        <v>103.28</v>
      </c>
      <c r="R60" s="3" t="inlineStr"/>
    </row>
    <row r="61">
      <c r="A61" s="4" t="inlineStr">
        <is>
          <t>ORD-1060</t>
        </is>
      </c>
      <c r="B61" s="5" t="inlineStr">
        <is>
          <t>04-02-2024</t>
        </is>
      </c>
      <c r="C61" s="5" t="inlineStr">
        <is>
          <t>Feb-2024</t>
        </is>
      </c>
      <c r="D61" s="4" t="inlineStr">
        <is>
          <t>East</t>
        </is>
      </c>
      <c r="E61" s="4" t="inlineStr">
        <is>
          <t>Kolkata</t>
        </is>
      </c>
      <c r="F61" s="5" t="inlineStr">
        <is>
          <t>Pooja Joshi</t>
        </is>
      </c>
      <c r="G61" s="5" t="inlineStr">
        <is>
          <t>Furniture</t>
        </is>
      </c>
      <c r="H61" s="4" t="inlineStr">
        <is>
          <t>Bookshelf</t>
        </is>
      </c>
      <c r="I61" s="4" t="n">
        <v>9</v>
      </c>
      <c r="J61" s="5" t="n">
        <v>193.61</v>
      </c>
      <c r="K61" s="5" t="n">
        <v>1742.49</v>
      </c>
      <c r="L61" s="5" t="n">
        <v>958.37</v>
      </c>
      <c r="M61" s="4" t="n">
        <v>784.12</v>
      </c>
      <c r="N61" s="4" t="inlineStr">
        <is>
          <t>Existing</t>
        </is>
      </c>
      <c r="O61" s="4" t="inlineStr">
        <is>
          <t>Online</t>
        </is>
      </c>
      <c r="P61" s="5" t="n">
        <v>1844.1</v>
      </c>
      <c r="Q61" s="5" t="n">
        <v>94.48999999999999</v>
      </c>
      <c r="R61" s="5" t="inlineStr"/>
    </row>
    <row r="62">
      <c r="A62" s="2" t="inlineStr">
        <is>
          <t>ORD-1061</t>
        </is>
      </c>
      <c r="B62" s="3" t="inlineStr">
        <is>
          <t>05-02-2024</t>
        </is>
      </c>
      <c r="C62" s="3" t="inlineStr">
        <is>
          <t>Feb-2024</t>
        </is>
      </c>
      <c r="D62" s="2" t="inlineStr">
        <is>
          <t>North</t>
        </is>
      </c>
      <c r="E62" s="2" t="inlineStr">
        <is>
          <t>Delhi</t>
        </is>
      </c>
      <c r="F62" s="3" t="inlineStr">
        <is>
          <t>Amit Kumar</t>
        </is>
      </c>
      <c r="G62" s="3" t="inlineStr">
        <is>
          <t>Software</t>
        </is>
      </c>
      <c r="H62" s="2" t="inlineStr">
        <is>
          <t>CRM Tool</t>
        </is>
      </c>
      <c r="I62" s="2" t="n">
        <v>16</v>
      </c>
      <c r="J62" s="3" t="n">
        <v>3087.54</v>
      </c>
      <c r="K62" s="3" t="n">
        <v>49400.64</v>
      </c>
      <c r="L62" s="3" t="n">
        <v>14820.19</v>
      </c>
      <c r="M62" s="2" t="n">
        <v>34580.45</v>
      </c>
      <c r="N62" s="2" t="inlineStr">
        <is>
          <t>Existing</t>
        </is>
      </c>
      <c r="O62" s="2" t="inlineStr">
        <is>
          <t>Offline</t>
        </is>
      </c>
      <c r="P62" s="3" t="n">
        <v>59106.21</v>
      </c>
      <c r="Q62" s="3" t="n">
        <v>83.58</v>
      </c>
      <c r="R62" s="3" t="inlineStr"/>
    </row>
    <row r="63">
      <c r="A63" s="4" t="inlineStr">
        <is>
          <t>ORD-1062</t>
        </is>
      </c>
      <c r="B63" s="5" t="inlineStr">
        <is>
          <t>06-02-2024</t>
        </is>
      </c>
      <c r="C63" s="5" t="inlineStr">
        <is>
          <t>Feb-2024</t>
        </is>
      </c>
      <c r="D63" s="4" t="inlineStr">
        <is>
          <t>East</t>
        </is>
      </c>
      <c r="E63" s="4" t="inlineStr">
        <is>
          <t>Kolkata</t>
        </is>
      </c>
      <c r="F63" s="5" t="inlineStr">
        <is>
          <t>Amit Kumar</t>
        </is>
      </c>
      <c r="G63" s="5" t="inlineStr">
        <is>
          <t>Furniture</t>
        </is>
      </c>
      <c r="H63" s="4" t="inlineStr">
        <is>
          <t>Bookshelf</t>
        </is>
      </c>
      <c r="I63" s="4" t="n">
        <v>19</v>
      </c>
      <c r="J63" s="5" t="n">
        <v>194.76</v>
      </c>
      <c r="K63" s="5" t="n">
        <v>3700.44</v>
      </c>
      <c r="L63" s="5" t="n">
        <v>2035.24</v>
      </c>
      <c r="M63" s="4" t="n">
        <v>1665.2</v>
      </c>
      <c r="N63" s="4" t="inlineStr">
        <is>
          <t>Existing</t>
        </is>
      </c>
      <c r="O63" s="4" t="inlineStr">
        <is>
          <t>Offline</t>
        </is>
      </c>
      <c r="P63" s="5" t="n">
        <v>4804.34</v>
      </c>
      <c r="Q63" s="5" t="n">
        <v>77.02</v>
      </c>
      <c r="R63" s="5" t="inlineStr"/>
    </row>
    <row r="64">
      <c r="A64" s="2" t="inlineStr">
        <is>
          <t>ORD-1063</t>
        </is>
      </c>
      <c r="B64" s="3" t="inlineStr">
        <is>
          <t>07-02-2024</t>
        </is>
      </c>
      <c r="C64" s="3" t="inlineStr">
        <is>
          <t>Feb-2024</t>
        </is>
      </c>
      <c r="D64" s="2" t="inlineStr">
        <is>
          <t>East</t>
        </is>
      </c>
      <c r="E64" s="2" t="inlineStr">
        <is>
          <t>Bhubaneswar</t>
        </is>
      </c>
      <c r="F64" s="3" t="inlineStr">
        <is>
          <t>Pooja Joshi</t>
        </is>
      </c>
      <c r="G64" s="3" t="inlineStr">
        <is>
          <t>Apparel</t>
        </is>
      </c>
      <c r="H64" s="2" t="inlineStr">
        <is>
          <t>T-Shirt</t>
        </is>
      </c>
      <c r="I64" s="2" t="n">
        <v>9</v>
      </c>
      <c r="J64" s="3" t="n">
        <v>37.84</v>
      </c>
      <c r="K64" s="3" t="n">
        <v>340.56</v>
      </c>
      <c r="L64" s="3" t="n">
        <v>153.25</v>
      </c>
      <c r="M64" s="2" t="n">
        <v>187.31</v>
      </c>
      <c r="N64" s="2" t="inlineStr">
        <is>
          <t>New</t>
        </is>
      </c>
      <c r="O64" s="2" t="inlineStr">
        <is>
          <t>Offline</t>
        </is>
      </c>
      <c r="P64" s="3" t="n">
        <v>292.81</v>
      </c>
      <c r="Q64" s="3" t="n">
        <v>116.31</v>
      </c>
      <c r="R64" s="3" t="inlineStr"/>
    </row>
    <row r="65">
      <c r="A65" s="4" t="inlineStr">
        <is>
          <t>ORD-1064</t>
        </is>
      </c>
      <c r="B65" s="5" t="inlineStr">
        <is>
          <t>07-02-2024</t>
        </is>
      </c>
      <c r="C65" s="5" t="inlineStr">
        <is>
          <t>Feb-2024</t>
        </is>
      </c>
      <c r="D65" s="4" t="inlineStr">
        <is>
          <t>South</t>
        </is>
      </c>
      <c r="E65" s="4" t="inlineStr">
        <is>
          <t>Chennai</t>
        </is>
      </c>
      <c r="F65" s="5" t="inlineStr">
        <is>
          <t>Sneha Reddy</t>
        </is>
      </c>
      <c r="G65" s="5" t="inlineStr">
        <is>
          <t>Software</t>
        </is>
      </c>
      <c r="H65" s="4" t="inlineStr">
        <is>
          <t>Analytics Pro</t>
        </is>
      </c>
      <c r="I65" s="4" t="n">
        <v>19</v>
      </c>
      <c r="J65" s="5" t="n">
        <v>2738.3</v>
      </c>
      <c r="K65" s="5" t="n">
        <v>52027.7</v>
      </c>
      <c r="L65" s="5" t="n">
        <v>15608.31</v>
      </c>
      <c r="M65" s="4" t="n">
        <v>36419.39</v>
      </c>
      <c r="N65" s="4" t="inlineStr">
        <is>
          <t>Existing</t>
        </is>
      </c>
      <c r="O65" s="4" t="inlineStr">
        <is>
          <t>Online</t>
        </is>
      </c>
      <c r="P65" s="5" t="n">
        <v>63282.03</v>
      </c>
      <c r="Q65" s="5" t="n">
        <v>82.22</v>
      </c>
      <c r="R65" s="5" t="inlineStr"/>
    </row>
    <row r="66">
      <c r="A66" s="2" t="inlineStr">
        <is>
          <t>ORD-1065</t>
        </is>
      </c>
      <c r="B66" s="3" t="inlineStr">
        <is>
          <t>07-02-2024</t>
        </is>
      </c>
      <c r="C66" s="3" t="inlineStr">
        <is>
          <t>Feb-2024</t>
        </is>
      </c>
      <c r="D66" s="2" t="inlineStr">
        <is>
          <t>East</t>
        </is>
      </c>
      <c r="E66" s="2" t="inlineStr">
        <is>
          <t>Kolkata</t>
        </is>
      </c>
      <c r="F66" s="3" t="inlineStr">
        <is>
          <t>Deepa Nair</t>
        </is>
      </c>
      <c r="G66" s="3" t="inlineStr">
        <is>
          <t>Furniture</t>
        </is>
      </c>
      <c r="H66" s="2" t="inlineStr">
        <is>
          <t>Bookshelf</t>
        </is>
      </c>
      <c r="I66" s="2" t="n">
        <v>1</v>
      </c>
      <c r="J66" s="3" t="n">
        <v>208.32</v>
      </c>
      <c r="K66" s="3" t="n">
        <v>208.32</v>
      </c>
      <c r="L66" s="3" t="n">
        <v>114.58</v>
      </c>
      <c r="M66" s="2" t="n">
        <v>93.73999999999999</v>
      </c>
      <c r="N66" s="2" t="inlineStr">
        <is>
          <t>New</t>
        </is>
      </c>
      <c r="O66" s="2" t="inlineStr">
        <is>
          <t>Offline</t>
        </is>
      </c>
      <c r="P66" s="3" t="n">
        <v>171.4</v>
      </c>
      <c r="Q66" s="3" t="n">
        <v>121.54</v>
      </c>
      <c r="R66" s="3" t="inlineStr"/>
    </row>
    <row r="67">
      <c r="A67" s="4" t="inlineStr">
        <is>
          <t>ORD-1066</t>
        </is>
      </c>
      <c r="B67" s="5" t="inlineStr">
        <is>
          <t>08-02-2024</t>
        </is>
      </c>
      <c r="C67" s="5" t="inlineStr">
        <is>
          <t>Feb-2024</t>
        </is>
      </c>
      <c r="D67" s="4" t="inlineStr">
        <is>
          <t>East</t>
        </is>
      </c>
      <c r="E67" s="4" t="inlineStr">
        <is>
          <t>Patna</t>
        </is>
      </c>
      <c r="F67" s="5" t="inlineStr">
        <is>
          <t>Arjun Mehta</t>
        </is>
      </c>
      <c r="G67" s="5" t="inlineStr">
        <is>
          <t>Software</t>
        </is>
      </c>
      <c r="H67" s="4" t="inlineStr">
        <is>
          <t>ERP Suite</t>
        </is>
      </c>
      <c r="I67" s="4" t="n">
        <v>1</v>
      </c>
      <c r="J67" s="5" t="n">
        <v>5074.06</v>
      </c>
      <c r="K67" s="5" t="n">
        <v>5074.06</v>
      </c>
      <c r="L67" s="5" t="n">
        <v>1522.22</v>
      </c>
      <c r="M67" s="4" t="n">
        <v>3551.84</v>
      </c>
      <c r="N67" s="4" t="inlineStr">
        <is>
          <t>Existing</t>
        </is>
      </c>
      <c r="O67" s="4" t="inlineStr">
        <is>
          <t>Offline</t>
        </is>
      </c>
      <c r="P67" s="5" t="n">
        <v>5176.73</v>
      </c>
      <c r="Q67" s="5" t="n">
        <v>98.02</v>
      </c>
      <c r="R67" s="5" t="inlineStr"/>
    </row>
    <row r="68">
      <c r="A68" s="2" t="inlineStr">
        <is>
          <t>ORD-1067</t>
        </is>
      </c>
      <c r="B68" s="3" t="inlineStr">
        <is>
          <t>09-02-2024</t>
        </is>
      </c>
      <c r="C68" s="3" t="inlineStr">
        <is>
          <t>Feb-2024</t>
        </is>
      </c>
      <c r="D68" s="2" t="inlineStr">
        <is>
          <t>North</t>
        </is>
      </c>
      <c r="E68" s="2" t="inlineStr">
        <is>
          <t>Chandigarh</t>
        </is>
      </c>
      <c r="F68" s="3" t="inlineStr">
        <is>
          <t>Pooja Joshi</t>
        </is>
      </c>
      <c r="G68" s="3" t="inlineStr">
        <is>
          <t>Electronics</t>
        </is>
      </c>
      <c r="H68" s="2" t="inlineStr">
        <is>
          <t>Laptop</t>
        </is>
      </c>
      <c r="I68" s="2" t="n">
        <v>13</v>
      </c>
      <c r="J68" s="3" t="n">
        <v>1198.02</v>
      </c>
      <c r="K68" s="3" t="n">
        <v>15574.26</v>
      </c>
      <c r="L68" s="3" t="n">
        <v>9344.559999999999</v>
      </c>
      <c r="M68" s="2" t="n">
        <v>6229.7</v>
      </c>
      <c r="N68" s="2" t="inlineStr">
        <is>
          <t>New</t>
        </is>
      </c>
      <c r="O68" s="2" t="inlineStr">
        <is>
          <t>Online</t>
        </is>
      </c>
      <c r="P68" s="3" t="n">
        <v>13621.23</v>
      </c>
      <c r="Q68" s="3" t="n">
        <v>114.34</v>
      </c>
      <c r="R68" s="3" t="inlineStr"/>
    </row>
    <row r="69">
      <c r="A69" s="4" t="inlineStr">
        <is>
          <t>ORD-1068</t>
        </is>
      </c>
      <c r="B69" s="5" t="inlineStr">
        <is>
          <t>10-02-2024</t>
        </is>
      </c>
      <c r="C69" s="5" t="inlineStr">
        <is>
          <t>Feb-2024</t>
        </is>
      </c>
      <c r="D69" s="4" t="inlineStr">
        <is>
          <t>East</t>
        </is>
      </c>
      <c r="E69" s="4" t="inlineStr">
        <is>
          <t>Kolkata</t>
        </is>
      </c>
      <c r="F69" s="5" t="inlineStr">
        <is>
          <t>Sneha Reddy</t>
        </is>
      </c>
      <c r="G69" s="5" t="inlineStr">
        <is>
          <t>Electronics</t>
        </is>
      </c>
      <c r="H69" s="4" t="inlineStr">
        <is>
          <t>Smartwatch</t>
        </is>
      </c>
      <c r="I69" s="4" t="n">
        <v>20</v>
      </c>
      <c r="J69" s="5" t="n">
        <v>305.77</v>
      </c>
      <c r="K69" s="5" t="n">
        <v>6115.4</v>
      </c>
      <c r="L69" s="5" t="n">
        <v>3669.24</v>
      </c>
      <c r="M69" s="4" t="n">
        <v>2446.16</v>
      </c>
      <c r="N69" s="4" t="inlineStr">
        <is>
          <t>New</t>
        </is>
      </c>
      <c r="O69" s="4" t="inlineStr">
        <is>
          <t>Offline</t>
        </is>
      </c>
      <c r="P69" s="5" t="n">
        <v>6269.86</v>
      </c>
      <c r="Q69" s="5" t="n">
        <v>97.54000000000001</v>
      </c>
      <c r="R69" s="5" t="inlineStr"/>
    </row>
    <row r="70">
      <c r="A70" s="2" t="inlineStr">
        <is>
          <t>ORD-1069</t>
        </is>
      </c>
      <c r="B70" s="3" t="inlineStr">
        <is>
          <t>10-02-2024</t>
        </is>
      </c>
      <c r="C70" s="3" t="inlineStr">
        <is>
          <t>Feb-2024</t>
        </is>
      </c>
      <c r="D70" s="2" t="inlineStr">
        <is>
          <t>West</t>
        </is>
      </c>
      <c r="E70" s="2" t="inlineStr">
        <is>
          <t>Ahmedabad</t>
        </is>
      </c>
      <c r="F70" s="3" t="inlineStr">
        <is>
          <t>Kavita Rao</t>
        </is>
      </c>
      <c r="G70" s="3" t="inlineStr">
        <is>
          <t>Software</t>
        </is>
      </c>
      <c r="H70" s="2" t="inlineStr">
        <is>
          <t>Analytics Pro</t>
        </is>
      </c>
      <c r="I70" s="2" t="n">
        <v>19</v>
      </c>
      <c r="J70" s="3" t="n">
        <v>2560.51</v>
      </c>
      <c r="K70" s="3" t="n">
        <v>48649.69</v>
      </c>
      <c r="L70" s="3" t="n">
        <v>14594.91</v>
      </c>
      <c r="M70" s="2" t="n">
        <v>34054.78</v>
      </c>
      <c r="N70" s="2" t="inlineStr">
        <is>
          <t>New</t>
        </is>
      </c>
      <c r="O70" s="2" t="inlineStr">
        <is>
          <t>Online</t>
        </is>
      </c>
      <c r="P70" s="3" t="n">
        <v>54135.31</v>
      </c>
      <c r="Q70" s="3" t="n">
        <v>89.87</v>
      </c>
      <c r="R70" s="3" t="inlineStr"/>
    </row>
    <row r="71">
      <c r="A71" s="4" t="inlineStr">
        <is>
          <t>ORD-1070</t>
        </is>
      </c>
      <c r="B71" s="5" t="inlineStr">
        <is>
          <t>10-02-2024</t>
        </is>
      </c>
      <c r="C71" s="5" t="inlineStr">
        <is>
          <t>Feb-2024</t>
        </is>
      </c>
      <c r="D71" s="4" t="inlineStr">
        <is>
          <t>East</t>
        </is>
      </c>
      <c r="E71" s="4" t="inlineStr">
        <is>
          <t>Patna</t>
        </is>
      </c>
      <c r="F71" s="5" t="inlineStr">
        <is>
          <t>Priya Patel</t>
        </is>
      </c>
      <c r="G71" s="5" t="inlineStr">
        <is>
          <t>Furniture</t>
        </is>
      </c>
      <c r="H71" s="4" t="inlineStr">
        <is>
          <t>Desk</t>
        </is>
      </c>
      <c r="I71" s="4" t="n">
        <v>6</v>
      </c>
      <c r="J71" s="5" t="n">
        <v>454.68</v>
      </c>
      <c r="K71" s="5" t="n">
        <v>2728.08</v>
      </c>
      <c r="L71" s="5" t="n">
        <v>1500.44</v>
      </c>
      <c r="M71" s="4" t="n">
        <v>1227.64</v>
      </c>
      <c r="N71" s="4" t="inlineStr">
        <is>
          <t>New</t>
        </is>
      </c>
      <c r="O71" s="4" t="inlineStr">
        <is>
          <t>Online</t>
        </is>
      </c>
      <c r="P71" s="5" t="n">
        <v>2739.7</v>
      </c>
      <c r="Q71" s="5" t="n">
        <v>99.58</v>
      </c>
      <c r="R71" s="5" t="inlineStr"/>
    </row>
    <row r="72">
      <c r="A72" s="2" t="inlineStr">
        <is>
          <t>ORD-1071</t>
        </is>
      </c>
      <c r="B72" s="3" t="inlineStr">
        <is>
          <t>11-02-2024</t>
        </is>
      </c>
      <c r="C72" s="3" t="inlineStr">
        <is>
          <t>Feb-2024</t>
        </is>
      </c>
      <c r="D72" s="2" t="inlineStr">
        <is>
          <t>East</t>
        </is>
      </c>
      <c r="E72" s="2" t="inlineStr">
        <is>
          <t>Kolkata</t>
        </is>
      </c>
      <c r="F72" s="3" t="inlineStr">
        <is>
          <t>Sneha Reddy</t>
        </is>
      </c>
      <c r="G72" s="3" t="inlineStr">
        <is>
          <t>Apparel</t>
        </is>
      </c>
      <c r="H72" s="2" t="inlineStr">
        <is>
          <t>T-Shirt</t>
        </is>
      </c>
      <c r="I72" s="2" t="n">
        <v>15</v>
      </c>
      <c r="J72" s="3" t="n">
        <v>36.57</v>
      </c>
      <c r="K72" s="3" t="n">
        <v>548.55</v>
      </c>
      <c r="L72" s="3" t="n">
        <v>246.85</v>
      </c>
      <c r="M72" s="2" t="n">
        <v>301.7</v>
      </c>
      <c r="N72" s="2" t="inlineStr">
        <is>
          <t>New</t>
        </is>
      </c>
      <c r="O72" s="2" t="inlineStr">
        <is>
          <t>Offline</t>
        </is>
      </c>
      <c r="P72" s="3" t="n">
        <v>654.92</v>
      </c>
      <c r="Q72" s="3" t="n">
        <v>83.76000000000001</v>
      </c>
      <c r="R72" s="3" t="inlineStr"/>
    </row>
    <row r="73">
      <c r="A73" s="4" t="inlineStr">
        <is>
          <t>ORD-1072</t>
        </is>
      </c>
      <c r="B73" s="5" t="inlineStr">
        <is>
          <t>12-02-2024</t>
        </is>
      </c>
      <c r="C73" s="5" t="inlineStr">
        <is>
          <t>Feb-2024</t>
        </is>
      </c>
      <c r="D73" s="4" t="inlineStr">
        <is>
          <t>South</t>
        </is>
      </c>
      <c r="E73" s="4" t="inlineStr">
        <is>
          <t>Bangalore</t>
        </is>
      </c>
      <c r="F73" s="5" t="inlineStr">
        <is>
          <t>Priya Patel</t>
        </is>
      </c>
      <c r="G73" s="5" t="inlineStr">
        <is>
          <t>Furniture</t>
        </is>
      </c>
      <c r="H73" s="4" t="inlineStr">
        <is>
          <t>Desk</t>
        </is>
      </c>
      <c r="I73" s="4" t="n">
        <v>9</v>
      </c>
      <c r="J73" s="5" t="n">
        <v>479.4</v>
      </c>
      <c r="K73" s="5" t="n">
        <v>4314.6</v>
      </c>
      <c r="L73" s="5" t="n">
        <v>2373.03</v>
      </c>
      <c r="M73" s="4" t="n">
        <v>1941.57</v>
      </c>
      <c r="N73" s="4" t="inlineStr">
        <is>
          <t>New</t>
        </is>
      </c>
      <c r="O73" s="4" t="inlineStr">
        <is>
          <t>Online</t>
        </is>
      </c>
      <c r="P73" s="5" t="n">
        <v>3809.63</v>
      </c>
      <c r="Q73" s="5" t="n">
        <v>113.26</v>
      </c>
      <c r="R73" s="5" t="inlineStr"/>
    </row>
    <row r="74">
      <c r="A74" s="2" t="inlineStr">
        <is>
          <t>ORD-1073</t>
        </is>
      </c>
      <c r="B74" s="3" t="inlineStr">
        <is>
          <t>12-02-2024</t>
        </is>
      </c>
      <c r="C74" s="3" t="inlineStr">
        <is>
          <t>Feb-2024</t>
        </is>
      </c>
      <c r="D74" s="2" t="inlineStr">
        <is>
          <t>East</t>
        </is>
      </c>
      <c r="E74" s="2" t="inlineStr">
        <is>
          <t>Patna</t>
        </is>
      </c>
      <c r="F74" s="3" t="inlineStr">
        <is>
          <t>Kavita Rao</t>
        </is>
      </c>
      <c r="G74" s="3" t="inlineStr">
        <is>
          <t>Apparel</t>
        </is>
      </c>
      <c r="H74" s="2" t="inlineStr">
        <is>
          <t>Trousers</t>
        </is>
      </c>
      <c r="I74" s="2" t="n">
        <v>4</v>
      </c>
      <c r="J74" s="3" t="n">
        <v>69.56</v>
      </c>
      <c r="K74" s="3" t="n">
        <v>278.24</v>
      </c>
      <c r="L74" s="3" t="n">
        <v>125.21</v>
      </c>
      <c r="M74" s="2" t="n">
        <v>153.03</v>
      </c>
      <c r="N74" s="2" t="inlineStr">
        <is>
          <t>Existing</t>
        </is>
      </c>
      <c r="O74" s="2" t="inlineStr">
        <is>
          <t>Offline</t>
        </is>
      </c>
      <c r="P74" s="3" t="n">
        <v>353.74</v>
      </c>
      <c r="Q74" s="3" t="n">
        <v>78.66</v>
      </c>
      <c r="R74" s="3" t="inlineStr"/>
    </row>
    <row r="75">
      <c r="A75" s="4" t="inlineStr">
        <is>
          <t>ORD-1074</t>
        </is>
      </c>
      <c r="B75" s="5" t="inlineStr">
        <is>
          <t>12-02-2024</t>
        </is>
      </c>
      <c r="C75" s="5" t="inlineStr">
        <is>
          <t>Feb-2024</t>
        </is>
      </c>
      <c r="D75" s="4" t="inlineStr">
        <is>
          <t>West</t>
        </is>
      </c>
      <c r="E75" s="4" t="inlineStr">
        <is>
          <t>Ahmedabad</t>
        </is>
      </c>
      <c r="F75" s="5" t="inlineStr">
        <is>
          <t>Priya Patel</t>
        </is>
      </c>
      <c r="G75" s="5" t="inlineStr">
        <is>
          <t>Electronics</t>
        </is>
      </c>
      <c r="H75" s="4" t="inlineStr">
        <is>
          <t>Smartwatch</t>
        </is>
      </c>
      <c r="I75" s="4" t="n">
        <v>11</v>
      </c>
      <c r="J75" s="5" t="n">
        <v>306.22</v>
      </c>
      <c r="K75" s="5" t="n">
        <v>3368.42</v>
      </c>
      <c r="L75" s="5" t="n">
        <v>2021.05</v>
      </c>
      <c r="M75" s="4" t="n">
        <v>1347.37</v>
      </c>
      <c r="N75" s="4" t="inlineStr">
        <is>
          <t>New</t>
        </is>
      </c>
      <c r="O75" s="4" t="inlineStr">
        <is>
          <t>Online</t>
        </is>
      </c>
      <c r="P75" s="5" t="n">
        <v>3080.29</v>
      </c>
      <c r="Q75" s="5" t="n">
        <v>109.35</v>
      </c>
      <c r="R75" s="5" t="inlineStr"/>
    </row>
    <row r="76">
      <c r="A76" s="2" t="inlineStr">
        <is>
          <t>ORD-1075</t>
        </is>
      </c>
      <c r="B76" s="3" t="inlineStr">
        <is>
          <t>13-02-2024</t>
        </is>
      </c>
      <c r="C76" s="3" t="inlineStr">
        <is>
          <t>Feb-2024</t>
        </is>
      </c>
      <c r="D76" s="2" t="inlineStr">
        <is>
          <t>North</t>
        </is>
      </c>
      <c r="E76" s="2" t="inlineStr">
        <is>
          <t>Lucknow</t>
        </is>
      </c>
      <c r="F76" s="3" t="inlineStr">
        <is>
          <t>Vikram Singh</t>
        </is>
      </c>
      <c r="G76" s="3" t="inlineStr">
        <is>
          <t>Electronics</t>
        </is>
      </c>
      <c r="H76" s="2" t="inlineStr">
        <is>
          <t>Smartphone</t>
        </is>
      </c>
      <c r="I76" s="2" t="n">
        <v>16</v>
      </c>
      <c r="J76" s="3" t="n">
        <v>803.03</v>
      </c>
      <c r="K76" s="3" t="n">
        <v>12848.48</v>
      </c>
      <c r="L76" s="3" t="n">
        <v>7709.09</v>
      </c>
      <c r="M76" s="2" t="n">
        <v>5139.39</v>
      </c>
      <c r="N76" s="2" t="inlineStr">
        <is>
          <t>Existing</t>
        </is>
      </c>
      <c r="O76" s="2" t="inlineStr">
        <is>
          <t>Offline</t>
        </is>
      </c>
      <c r="P76" s="3" t="n">
        <v>11444.71</v>
      </c>
      <c r="Q76" s="3" t="n">
        <v>112.27</v>
      </c>
      <c r="R76" s="3" t="inlineStr"/>
    </row>
    <row r="77">
      <c r="A77" s="4" t="inlineStr">
        <is>
          <t>ORD-1076</t>
        </is>
      </c>
      <c r="B77" s="5" t="inlineStr">
        <is>
          <t>13-02-2024</t>
        </is>
      </c>
      <c r="C77" s="5" t="inlineStr">
        <is>
          <t>Feb-2024</t>
        </is>
      </c>
      <c r="D77" s="4" t="inlineStr">
        <is>
          <t>West</t>
        </is>
      </c>
      <c r="E77" s="4" t="inlineStr">
        <is>
          <t>Pune</t>
        </is>
      </c>
      <c r="F77" s="5" t="inlineStr">
        <is>
          <t>Pooja Joshi</t>
        </is>
      </c>
      <c r="G77" s="5" t="inlineStr">
        <is>
          <t>Electronics</t>
        </is>
      </c>
      <c r="H77" s="4" t="inlineStr">
        <is>
          <t>Smartwatch</t>
        </is>
      </c>
      <c r="I77" s="4" t="n">
        <v>12</v>
      </c>
      <c r="J77" s="5" t="n">
        <v>294.5</v>
      </c>
      <c r="K77" s="5" t="n">
        <v>3534</v>
      </c>
      <c r="L77" s="5" t="n">
        <v>2120.4</v>
      </c>
      <c r="M77" s="4" t="n">
        <v>1413.6</v>
      </c>
      <c r="N77" s="4" t="inlineStr">
        <is>
          <t>Existing</t>
        </is>
      </c>
      <c r="O77" s="4" t="inlineStr">
        <is>
          <t>Online</t>
        </is>
      </c>
      <c r="P77" s="5" t="n">
        <v>4342.81</v>
      </c>
      <c r="Q77" s="5" t="n">
        <v>81.38</v>
      </c>
      <c r="R77" s="5" t="inlineStr"/>
    </row>
    <row r="78">
      <c r="A78" s="2" t="inlineStr">
        <is>
          <t>ORD-1077</t>
        </is>
      </c>
      <c r="B78" s="3" t="inlineStr">
        <is>
          <t>13-02-2024</t>
        </is>
      </c>
      <c r="C78" s="3" t="inlineStr">
        <is>
          <t>Feb-2024</t>
        </is>
      </c>
      <c r="D78" s="2" t="inlineStr">
        <is>
          <t>East</t>
        </is>
      </c>
      <c r="E78" s="2" t="inlineStr">
        <is>
          <t>Bhubaneswar</t>
        </is>
      </c>
      <c r="F78" s="3" t="inlineStr">
        <is>
          <t>Pooja Joshi</t>
        </is>
      </c>
      <c r="G78" s="3" t="inlineStr">
        <is>
          <t>Apparel</t>
        </is>
      </c>
      <c r="H78" s="2" t="inlineStr">
        <is>
          <t>Trousers</t>
        </is>
      </c>
      <c r="I78" s="2" t="n">
        <v>18</v>
      </c>
      <c r="J78" s="3" t="n">
        <v>63.51</v>
      </c>
      <c r="K78" s="3" t="n">
        <v>1143.18</v>
      </c>
      <c r="L78" s="3" t="n">
        <v>514.4299999999999</v>
      </c>
      <c r="M78" s="2" t="n">
        <v>628.75</v>
      </c>
      <c r="N78" s="2" t="inlineStr">
        <is>
          <t>New</t>
        </is>
      </c>
      <c r="O78" s="2" t="inlineStr">
        <is>
          <t>Offline</t>
        </is>
      </c>
      <c r="P78" s="3" t="n">
        <v>1058.81</v>
      </c>
      <c r="Q78" s="3" t="n">
        <v>107.97</v>
      </c>
      <c r="R78" s="3" t="inlineStr"/>
    </row>
    <row r="79">
      <c r="A79" s="4" t="inlineStr">
        <is>
          <t>ORD-1078</t>
        </is>
      </c>
      <c r="B79" s="5" t="inlineStr">
        <is>
          <t>14-02-2024</t>
        </is>
      </c>
      <c r="C79" s="5" t="inlineStr">
        <is>
          <t>Feb-2024</t>
        </is>
      </c>
      <c r="D79" s="4" t="inlineStr">
        <is>
          <t>West</t>
        </is>
      </c>
      <c r="E79" s="4" t="inlineStr">
        <is>
          <t>Pune</t>
        </is>
      </c>
      <c r="F79" s="5" t="inlineStr">
        <is>
          <t>Rahul Sharma</t>
        </is>
      </c>
      <c r="G79" s="5" t="inlineStr">
        <is>
          <t>Software</t>
        </is>
      </c>
      <c r="H79" s="4" t="inlineStr">
        <is>
          <t>HR System</t>
        </is>
      </c>
      <c r="I79" s="4" t="n">
        <v>2</v>
      </c>
      <c r="J79" s="5" t="n">
        <v>1875.03</v>
      </c>
      <c r="K79" s="5" t="n">
        <v>3750.06</v>
      </c>
      <c r="L79" s="5" t="n">
        <v>1125.02</v>
      </c>
      <c r="M79" s="4" t="n">
        <v>2625.04</v>
      </c>
      <c r="N79" s="4" t="inlineStr">
        <is>
          <t>Existing</t>
        </is>
      </c>
      <c r="O79" s="4" t="inlineStr">
        <is>
          <t>Offline</t>
        </is>
      </c>
      <c r="P79" s="5" t="n">
        <v>4172.71</v>
      </c>
      <c r="Q79" s="5" t="n">
        <v>89.87</v>
      </c>
      <c r="R79" s="5" t="inlineStr"/>
    </row>
    <row r="80">
      <c r="A80" s="2" t="inlineStr">
        <is>
          <t>ORD-1079</t>
        </is>
      </c>
      <c r="B80" s="3" t="inlineStr">
        <is>
          <t>15-02-2024</t>
        </is>
      </c>
      <c r="C80" s="3" t="inlineStr">
        <is>
          <t>Feb-2024</t>
        </is>
      </c>
      <c r="D80" s="2" t="inlineStr">
        <is>
          <t>South</t>
        </is>
      </c>
      <c r="E80" s="2" t="inlineStr">
        <is>
          <t>Bangalore</t>
        </is>
      </c>
      <c r="F80" s="3" t="inlineStr">
        <is>
          <t>Ravi Verma</t>
        </is>
      </c>
      <c r="G80" s="3" t="inlineStr">
        <is>
          <t>Furniture</t>
        </is>
      </c>
      <c r="H80" s="2" t="inlineStr">
        <is>
          <t>Bookshelf</t>
        </is>
      </c>
      <c r="I80" s="2" t="n">
        <v>15</v>
      </c>
      <c r="J80" s="3" t="n">
        <v>215.23</v>
      </c>
      <c r="K80" s="3" t="n">
        <v>3228.45</v>
      </c>
      <c r="L80" s="3" t="n">
        <v>1775.65</v>
      </c>
      <c r="M80" s="2" t="n">
        <v>1452.8</v>
      </c>
      <c r="N80" s="2" t="inlineStr">
        <is>
          <t>Existing</t>
        </is>
      </c>
      <c r="O80" s="2" t="inlineStr">
        <is>
          <t>Online</t>
        </is>
      </c>
      <c r="P80" s="3" t="n">
        <v>2629.36</v>
      </c>
      <c r="Q80" s="3" t="n">
        <v>122.78</v>
      </c>
      <c r="R80" s="3" t="inlineStr"/>
    </row>
    <row r="81">
      <c r="A81" s="4" t="inlineStr">
        <is>
          <t>ORD-1080</t>
        </is>
      </c>
      <c r="B81" s="5" t="inlineStr">
        <is>
          <t>16-02-2024</t>
        </is>
      </c>
      <c r="C81" s="5" t="inlineStr">
        <is>
          <t>Feb-2024</t>
        </is>
      </c>
      <c r="D81" s="4" t="inlineStr">
        <is>
          <t>South</t>
        </is>
      </c>
      <c r="E81" s="4" t="inlineStr">
        <is>
          <t>Hyderabad</t>
        </is>
      </c>
      <c r="F81" s="5" t="inlineStr">
        <is>
          <t>Arjun Mehta</t>
        </is>
      </c>
      <c r="G81" s="5" t="inlineStr">
        <is>
          <t>Apparel</t>
        </is>
      </c>
      <c r="H81" s="4" t="inlineStr">
        <is>
          <t>Jacket</t>
        </is>
      </c>
      <c r="I81" s="4" t="n">
        <v>18</v>
      </c>
      <c r="J81" s="5" t="n">
        <v>117.79</v>
      </c>
      <c r="K81" s="5" t="n">
        <v>2120.22</v>
      </c>
      <c r="L81" s="5" t="n">
        <v>954.1</v>
      </c>
      <c r="M81" s="4" t="n">
        <v>1166.12</v>
      </c>
      <c r="N81" s="4" t="inlineStr">
        <is>
          <t>New</t>
        </is>
      </c>
      <c r="O81" s="4" t="inlineStr">
        <is>
          <t>Online</t>
        </is>
      </c>
      <c r="P81" s="5" t="n">
        <v>2185.36</v>
      </c>
      <c r="Q81" s="5" t="n">
        <v>97.02</v>
      </c>
      <c r="R81" s="5" t="inlineStr"/>
    </row>
    <row r="82">
      <c r="A82" s="2" t="inlineStr">
        <is>
          <t>ORD-1081</t>
        </is>
      </c>
      <c r="B82" s="3" t="inlineStr">
        <is>
          <t>16-02-2024</t>
        </is>
      </c>
      <c r="C82" s="3" t="inlineStr">
        <is>
          <t>Feb-2024</t>
        </is>
      </c>
      <c r="D82" s="2" t="inlineStr">
        <is>
          <t>North</t>
        </is>
      </c>
      <c r="E82" s="2" t="inlineStr">
        <is>
          <t>Lucknow</t>
        </is>
      </c>
      <c r="F82" s="3" t="inlineStr">
        <is>
          <t>Arjun Mehta</t>
        </is>
      </c>
      <c r="G82" s="3" t="inlineStr">
        <is>
          <t>Software</t>
        </is>
      </c>
      <c r="H82" s="2" t="inlineStr">
        <is>
          <t>Analytics Pro</t>
        </is>
      </c>
      <c r="I82" s="2" t="n">
        <v>17</v>
      </c>
      <c r="J82" s="3" t="n">
        <v>2602.71</v>
      </c>
      <c r="K82" s="3" t="n">
        <v>44246.07</v>
      </c>
      <c r="L82" s="3" t="n">
        <v>13273.82</v>
      </c>
      <c r="M82" s="2" t="n">
        <v>30972.25</v>
      </c>
      <c r="N82" s="2" t="inlineStr">
        <is>
          <t>Existing</t>
        </is>
      </c>
      <c r="O82" s="2" t="inlineStr">
        <is>
          <t>Offline</t>
        </is>
      </c>
      <c r="P82" s="3" t="n">
        <v>57082.84</v>
      </c>
      <c r="Q82" s="3" t="n">
        <v>77.51000000000001</v>
      </c>
      <c r="R82" s="3" t="inlineStr"/>
    </row>
    <row r="83">
      <c r="A83" s="4" t="inlineStr">
        <is>
          <t>ORD-1082</t>
        </is>
      </c>
      <c r="B83" s="5" t="inlineStr">
        <is>
          <t>16-02-2024</t>
        </is>
      </c>
      <c r="C83" s="5" t="inlineStr">
        <is>
          <t>Feb-2024</t>
        </is>
      </c>
      <c r="D83" s="4" t="inlineStr">
        <is>
          <t>South</t>
        </is>
      </c>
      <c r="E83" s="4" t="inlineStr">
        <is>
          <t>Bangalore</t>
        </is>
      </c>
      <c r="F83" s="5" t="inlineStr">
        <is>
          <t>Ravi Verma</t>
        </is>
      </c>
      <c r="G83" s="5" t="inlineStr">
        <is>
          <t>Furniture</t>
        </is>
      </c>
      <c r="H83" s="4" t="inlineStr">
        <is>
          <t>Cabinet</t>
        </is>
      </c>
      <c r="I83" s="4" t="n">
        <v>7</v>
      </c>
      <c r="J83" s="5" t="n">
        <v>325.31</v>
      </c>
      <c r="K83" s="5" t="n">
        <v>2277.17</v>
      </c>
      <c r="L83" s="5" t="n">
        <v>1252.44</v>
      </c>
      <c r="M83" s="4" t="n">
        <v>1024.73</v>
      </c>
      <c r="N83" s="4" t="inlineStr">
        <is>
          <t>New</t>
        </is>
      </c>
      <c r="O83" s="4" t="inlineStr">
        <is>
          <t>Online</t>
        </is>
      </c>
      <c r="P83" s="5" t="n">
        <v>2136.27</v>
      </c>
      <c r="Q83" s="5" t="n">
        <v>106.6</v>
      </c>
      <c r="R83" s="5" t="inlineStr"/>
    </row>
    <row r="84">
      <c r="A84" s="2" t="inlineStr">
        <is>
          <t>ORD-1083</t>
        </is>
      </c>
      <c r="B84" s="3" t="inlineStr">
        <is>
          <t>17-02-2024</t>
        </is>
      </c>
      <c r="C84" s="3" t="inlineStr">
        <is>
          <t>Feb-2024</t>
        </is>
      </c>
      <c r="D84" s="2" t="inlineStr">
        <is>
          <t>East</t>
        </is>
      </c>
      <c r="E84" s="2" t="inlineStr">
        <is>
          <t>Patna</t>
        </is>
      </c>
      <c r="F84" s="3" t="inlineStr">
        <is>
          <t>Vikram Singh</t>
        </is>
      </c>
      <c r="G84" s="3" t="inlineStr">
        <is>
          <t>Electronics</t>
        </is>
      </c>
      <c r="H84" s="2" t="inlineStr">
        <is>
          <t>Tablet</t>
        </is>
      </c>
      <c r="I84" s="2" t="n">
        <v>10</v>
      </c>
      <c r="J84" s="3" t="n">
        <v>640.5</v>
      </c>
      <c r="K84" s="3" t="n">
        <v>6405</v>
      </c>
      <c r="L84" s="3" t="n">
        <v>3843</v>
      </c>
      <c r="M84" s="2" t="n">
        <v>2562</v>
      </c>
      <c r="N84" s="2" t="inlineStr">
        <is>
          <t>Existing</t>
        </is>
      </c>
      <c r="O84" s="2" t="inlineStr">
        <is>
          <t>Online</t>
        </is>
      </c>
      <c r="P84" s="3" t="n">
        <v>6554.07</v>
      </c>
      <c r="Q84" s="3" t="n">
        <v>97.73</v>
      </c>
      <c r="R84" s="3" t="inlineStr"/>
    </row>
    <row r="85">
      <c r="A85" s="4" t="inlineStr">
        <is>
          <t>ORD-1084</t>
        </is>
      </c>
      <c r="B85" s="5" t="inlineStr">
        <is>
          <t>17-02-2024</t>
        </is>
      </c>
      <c r="C85" s="5" t="inlineStr">
        <is>
          <t>Feb-2024</t>
        </is>
      </c>
      <c r="D85" s="4" t="inlineStr">
        <is>
          <t>West</t>
        </is>
      </c>
      <c r="E85" s="4" t="inlineStr">
        <is>
          <t>Ahmedabad</t>
        </is>
      </c>
      <c r="F85" s="5" t="inlineStr">
        <is>
          <t>Deepa Nair</t>
        </is>
      </c>
      <c r="G85" s="5" t="inlineStr">
        <is>
          <t>Software</t>
        </is>
      </c>
      <c r="H85" s="4" t="inlineStr">
        <is>
          <t>HR System</t>
        </is>
      </c>
      <c r="I85" s="4" t="n">
        <v>11</v>
      </c>
      <c r="J85" s="5" t="n">
        <v>2147.84</v>
      </c>
      <c r="K85" s="5" t="n">
        <v>23626.24</v>
      </c>
      <c r="L85" s="5" t="n">
        <v>7087.87</v>
      </c>
      <c r="M85" s="4" t="n">
        <v>16538.37</v>
      </c>
      <c r="N85" s="4" t="inlineStr">
        <is>
          <t>New</t>
        </is>
      </c>
      <c r="O85" s="4" t="inlineStr">
        <is>
          <t>Offline</t>
        </is>
      </c>
      <c r="P85" s="5" t="n">
        <v>21660.09</v>
      </c>
      <c r="Q85" s="5" t="n">
        <v>109.08</v>
      </c>
      <c r="R85" s="5" t="inlineStr"/>
    </row>
    <row r="86">
      <c r="A86" s="2" t="inlineStr">
        <is>
          <t>ORD-1085</t>
        </is>
      </c>
      <c r="B86" s="3" t="inlineStr">
        <is>
          <t>18-02-2024</t>
        </is>
      </c>
      <c r="C86" s="3" t="inlineStr">
        <is>
          <t>Feb-2024</t>
        </is>
      </c>
      <c r="D86" s="2" t="inlineStr">
        <is>
          <t>North</t>
        </is>
      </c>
      <c r="E86" s="2" t="inlineStr">
        <is>
          <t>Chandigarh</t>
        </is>
      </c>
      <c r="F86" s="3" t="inlineStr">
        <is>
          <t>Pooja Joshi</t>
        </is>
      </c>
      <c r="G86" s="3" t="inlineStr">
        <is>
          <t>Software</t>
        </is>
      </c>
      <c r="H86" s="2" t="inlineStr">
        <is>
          <t>HR System</t>
        </is>
      </c>
      <c r="I86" s="2" t="n">
        <v>5</v>
      </c>
      <c r="J86" s="3" t="n">
        <v>1998.13</v>
      </c>
      <c r="K86" s="3" t="n">
        <v>9990.65</v>
      </c>
      <c r="L86" s="3" t="n">
        <v>2997.19</v>
      </c>
      <c r="M86" s="2" t="n">
        <v>6993.46</v>
      </c>
      <c r="N86" s="2" t="inlineStr">
        <is>
          <t>New</t>
        </is>
      </c>
      <c r="O86" s="2" t="inlineStr">
        <is>
          <t>Online</t>
        </is>
      </c>
      <c r="P86" s="3" t="n">
        <v>10501.63</v>
      </c>
      <c r="Q86" s="3" t="n">
        <v>95.13</v>
      </c>
      <c r="R86" s="3" t="inlineStr"/>
    </row>
    <row r="87">
      <c r="A87" s="4" t="inlineStr">
        <is>
          <t>ORD-1086</t>
        </is>
      </c>
      <c r="B87" s="5" t="inlineStr">
        <is>
          <t>19-02-2024</t>
        </is>
      </c>
      <c r="C87" s="5" t="inlineStr">
        <is>
          <t>Feb-2024</t>
        </is>
      </c>
      <c r="D87" s="4" t="inlineStr">
        <is>
          <t>East</t>
        </is>
      </c>
      <c r="E87" s="4" t="inlineStr">
        <is>
          <t>Kolkata</t>
        </is>
      </c>
      <c r="F87" s="5" t="inlineStr">
        <is>
          <t>Pooja Joshi</t>
        </is>
      </c>
      <c r="G87" s="5" t="inlineStr">
        <is>
          <t>Electronics</t>
        </is>
      </c>
      <c r="H87" s="4" t="inlineStr">
        <is>
          <t>Smartwatch</t>
        </is>
      </c>
      <c r="I87" s="4" t="n">
        <v>1</v>
      </c>
      <c r="J87" s="5" t="n">
        <v>313.35</v>
      </c>
      <c r="K87" s="5" t="n">
        <v>313.35</v>
      </c>
      <c r="L87" s="5" t="n">
        <v>188.01</v>
      </c>
      <c r="M87" s="4" t="n">
        <v>125.34</v>
      </c>
      <c r="N87" s="4" t="inlineStr">
        <is>
          <t>Existing</t>
        </is>
      </c>
      <c r="O87" s="4" t="inlineStr">
        <is>
          <t>Online</t>
        </is>
      </c>
      <c r="P87" s="5" t="n">
        <v>262.4</v>
      </c>
      <c r="Q87" s="5" t="n">
        <v>119.42</v>
      </c>
      <c r="R87" s="5" t="inlineStr"/>
    </row>
    <row r="88">
      <c r="A88" s="2" t="inlineStr">
        <is>
          <t>ORD-1087</t>
        </is>
      </c>
      <c r="B88" s="3" t="inlineStr">
        <is>
          <t>19-02-2024</t>
        </is>
      </c>
      <c r="C88" s="3" t="inlineStr">
        <is>
          <t>Feb-2024</t>
        </is>
      </c>
      <c r="D88" s="2" t="inlineStr">
        <is>
          <t>East</t>
        </is>
      </c>
      <c r="E88" s="2" t="inlineStr">
        <is>
          <t>Bhubaneswar</t>
        </is>
      </c>
      <c r="F88" s="3" t="inlineStr">
        <is>
          <t>Kavita Rao</t>
        </is>
      </c>
      <c r="G88" s="3" t="inlineStr">
        <is>
          <t>Software</t>
        </is>
      </c>
      <c r="H88" s="2" t="inlineStr">
        <is>
          <t>ERP Suite</t>
        </is>
      </c>
      <c r="I88" s="2" t="n">
        <v>11</v>
      </c>
      <c r="J88" s="3" t="n">
        <v>5352.34</v>
      </c>
      <c r="K88" s="3" t="n">
        <v>58875.74</v>
      </c>
      <c r="L88" s="3" t="n">
        <v>17662.72</v>
      </c>
      <c r="M88" s="2" t="n">
        <v>41213.02</v>
      </c>
      <c r="N88" s="2" t="inlineStr">
        <is>
          <t>Existing</t>
        </is>
      </c>
      <c r="O88" s="2" t="inlineStr">
        <is>
          <t>Offline</t>
        </is>
      </c>
      <c r="P88" s="3" t="n">
        <v>65552.22</v>
      </c>
      <c r="Q88" s="3" t="n">
        <v>89.81999999999999</v>
      </c>
      <c r="R88" s="3" t="inlineStr"/>
    </row>
    <row r="89">
      <c r="A89" s="4" t="inlineStr">
        <is>
          <t>ORD-1088</t>
        </is>
      </c>
      <c r="B89" s="5" t="inlineStr">
        <is>
          <t>19-02-2024</t>
        </is>
      </c>
      <c r="C89" s="5" t="inlineStr">
        <is>
          <t>Feb-2024</t>
        </is>
      </c>
      <c r="D89" s="4" t="inlineStr">
        <is>
          <t>West</t>
        </is>
      </c>
      <c r="E89" s="4" t="inlineStr">
        <is>
          <t>Pune</t>
        </is>
      </c>
      <c r="F89" s="5" t="inlineStr">
        <is>
          <t>Rahul Sharma</t>
        </is>
      </c>
      <c r="G89" s="5" t="inlineStr">
        <is>
          <t>Electronics</t>
        </is>
      </c>
      <c r="H89" s="4" t="inlineStr">
        <is>
          <t>Smartphone</t>
        </is>
      </c>
      <c r="I89" s="4" t="n">
        <v>10</v>
      </c>
      <c r="J89" s="5" t="n">
        <v>879.59</v>
      </c>
      <c r="K89" s="5" t="n">
        <v>8795.9</v>
      </c>
      <c r="L89" s="5" t="n">
        <v>5277.54</v>
      </c>
      <c r="M89" s="4" t="n">
        <v>3518.36</v>
      </c>
      <c r="N89" s="4" t="inlineStr">
        <is>
          <t>New</t>
        </is>
      </c>
      <c r="O89" s="4" t="inlineStr">
        <is>
          <t>Offline</t>
        </is>
      </c>
      <c r="P89" s="5" t="n">
        <v>11339.4</v>
      </c>
      <c r="Q89" s="5" t="n">
        <v>77.56999999999999</v>
      </c>
      <c r="R89" s="5" t="inlineStr"/>
    </row>
    <row r="90">
      <c r="A90" s="2" t="inlineStr">
        <is>
          <t>ORD-1089</t>
        </is>
      </c>
      <c r="B90" s="3" t="inlineStr">
        <is>
          <t>20-02-2024</t>
        </is>
      </c>
      <c r="C90" s="3" t="inlineStr">
        <is>
          <t>Feb-2024</t>
        </is>
      </c>
      <c r="D90" s="2" t="inlineStr">
        <is>
          <t>North</t>
        </is>
      </c>
      <c r="E90" s="2" t="inlineStr">
        <is>
          <t>Chandigarh</t>
        </is>
      </c>
      <c r="F90" s="3" t="inlineStr">
        <is>
          <t>Arjun Mehta</t>
        </is>
      </c>
      <c r="G90" s="3" t="inlineStr">
        <is>
          <t>Apparel</t>
        </is>
      </c>
      <c r="H90" s="2" t="inlineStr">
        <is>
          <t>Jacket</t>
        </is>
      </c>
      <c r="I90" s="2" t="n">
        <v>2</v>
      </c>
      <c r="J90" s="3" t="n">
        <v>115.78</v>
      </c>
      <c r="K90" s="3" t="n">
        <v>231.56</v>
      </c>
      <c r="L90" s="3" t="n">
        <v>104.2</v>
      </c>
      <c r="M90" s="2" t="n">
        <v>127.36</v>
      </c>
      <c r="N90" s="2" t="inlineStr">
        <is>
          <t>New</t>
        </is>
      </c>
      <c r="O90" s="2" t="inlineStr">
        <is>
          <t>Offline</t>
        </is>
      </c>
      <c r="P90" s="3" t="n">
        <v>226.75</v>
      </c>
      <c r="Q90" s="3" t="n">
        <v>102.12</v>
      </c>
      <c r="R90" s="3" t="inlineStr"/>
    </row>
    <row r="91">
      <c r="A91" s="4" t="inlineStr">
        <is>
          <t>ORD-1090</t>
        </is>
      </c>
      <c r="B91" s="5" t="inlineStr">
        <is>
          <t>20-02-2024</t>
        </is>
      </c>
      <c r="C91" s="5" t="inlineStr">
        <is>
          <t>Feb-2024</t>
        </is>
      </c>
      <c r="D91" s="4" t="inlineStr">
        <is>
          <t>West</t>
        </is>
      </c>
      <c r="E91" s="4" t="inlineStr">
        <is>
          <t>Mumbai</t>
        </is>
      </c>
      <c r="F91" s="5" t="inlineStr">
        <is>
          <t>Sneha Reddy</t>
        </is>
      </c>
      <c r="G91" s="5" t="inlineStr">
        <is>
          <t>Software</t>
        </is>
      </c>
      <c r="H91" s="4" t="inlineStr">
        <is>
          <t>CRM Tool</t>
        </is>
      </c>
      <c r="I91" s="4" t="n">
        <v>6</v>
      </c>
      <c r="J91" s="5" t="n">
        <v>2805.04</v>
      </c>
      <c r="K91" s="5" t="n">
        <v>16830.24</v>
      </c>
      <c r="L91" s="5" t="n">
        <v>5049.07</v>
      </c>
      <c r="M91" s="4" t="n">
        <v>11781.17</v>
      </c>
      <c r="N91" s="4" t="inlineStr">
        <is>
          <t>Existing</t>
        </is>
      </c>
      <c r="O91" s="4" t="inlineStr">
        <is>
          <t>Online</t>
        </is>
      </c>
      <c r="P91" s="5" t="n">
        <v>17652.12</v>
      </c>
      <c r="Q91" s="5" t="n">
        <v>95.34</v>
      </c>
      <c r="R91" s="5" t="inlineStr"/>
    </row>
    <row r="92">
      <c r="A92" s="2" t="inlineStr">
        <is>
          <t>ORD-1091</t>
        </is>
      </c>
      <c r="B92" s="3" t="inlineStr">
        <is>
          <t>20-02-2024</t>
        </is>
      </c>
      <c r="C92" s="3" t="inlineStr">
        <is>
          <t>Feb-2024</t>
        </is>
      </c>
      <c r="D92" s="2" t="inlineStr">
        <is>
          <t>South</t>
        </is>
      </c>
      <c r="E92" s="2" t="inlineStr">
        <is>
          <t>Chennai</t>
        </is>
      </c>
      <c r="F92" s="3" t="inlineStr">
        <is>
          <t>Pooja Joshi</t>
        </is>
      </c>
      <c r="G92" s="3" t="inlineStr">
        <is>
          <t>Apparel</t>
        </is>
      </c>
      <c r="H92" s="2" t="inlineStr">
        <is>
          <t>Trousers</t>
        </is>
      </c>
      <c r="I92" s="2" t="n">
        <v>9</v>
      </c>
      <c r="J92" s="3" t="n">
        <v>72.34</v>
      </c>
      <c r="K92" s="3" t="n">
        <v>651.0599999999999</v>
      </c>
      <c r="L92" s="3" t="n">
        <v>292.98</v>
      </c>
      <c r="M92" s="2" t="n">
        <v>358.08</v>
      </c>
      <c r="N92" s="2" t="inlineStr">
        <is>
          <t>Existing</t>
        </is>
      </c>
      <c r="O92" s="2" t="inlineStr">
        <is>
          <t>Offline</t>
        </is>
      </c>
      <c r="P92" s="3" t="n">
        <v>741.4299999999999</v>
      </c>
      <c r="Q92" s="3" t="n">
        <v>87.81</v>
      </c>
      <c r="R92" s="3" t="inlineStr"/>
    </row>
    <row r="93">
      <c r="A93" s="4" t="inlineStr">
        <is>
          <t>ORD-1092</t>
        </is>
      </c>
      <c r="B93" s="5" t="inlineStr">
        <is>
          <t>21-02-2024</t>
        </is>
      </c>
      <c r="C93" s="5" t="inlineStr">
        <is>
          <t>Feb-2024</t>
        </is>
      </c>
      <c r="D93" s="4" t="inlineStr">
        <is>
          <t>North</t>
        </is>
      </c>
      <c r="E93" s="4" t="inlineStr">
        <is>
          <t>Chandigarh</t>
        </is>
      </c>
      <c r="F93" s="5" t="inlineStr">
        <is>
          <t>Deepa Nair</t>
        </is>
      </c>
      <c r="G93" s="5" t="inlineStr">
        <is>
          <t>Apparel</t>
        </is>
      </c>
      <c r="H93" s="4" t="inlineStr">
        <is>
          <t>Trousers</t>
        </is>
      </c>
      <c r="I93" s="4" t="n">
        <v>9</v>
      </c>
      <c r="J93" s="5" t="n">
        <v>69.40000000000001</v>
      </c>
      <c r="K93" s="5" t="n">
        <v>624.6</v>
      </c>
      <c r="L93" s="5" t="n">
        <v>281.07</v>
      </c>
      <c r="M93" s="4" t="n">
        <v>343.53</v>
      </c>
      <c r="N93" s="4" t="inlineStr">
        <is>
          <t>Existing</t>
        </is>
      </c>
      <c r="O93" s="4" t="inlineStr">
        <is>
          <t>Online</t>
        </is>
      </c>
      <c r="P93" s="5" t="n">
        <v>811.78</v>
      </c>
      <c r="Q93" s="5" t="n">
        <v>76.94</v>
      </c>
      <c r="R93" s="5" t="inlineStr"/>
    </row>
    <row r="94">
      <c r="A94" s="2" t="inlineStr">
        <is>
          <t>ORD-1093</t>
        </is>
      </c>
      <c r="B94" s="3" t="inlineStr">
        <is>
          <t>22-02-2024</t>
        </is>
      </c>
      <c r="C94" s="3" t="inlineStr">
        <is>
          <t>Feb-2024</t>
        </is>
      </c>
      <c r="D94" s="2" t="inlineStr">
        <is>
          <t>North</t>
        </is>
      </c>
      <c r="E94" s="2" t="inlineStr">
        <is>
          <t>Delhi</t>
        </is>
      </c>
      <c r="F94" s="3" t="inlineStr">
        <is>
          <t>Amit Kumar</t>
        </is>
      </c>
      <c r="G94" s="3" t="inlineStr">
        <is>
          <t>Apparel</t>
        </is>
      </c>
      <c r="H94" s="2" t="inlineStr">
        <is>
          <t>T-Shirt</t>
        </is>
      </c>
      <c r="I94" s="2" t="n">
        <v>10</v>
      </c>
      <c r="J94" s="3" t="n">
        <v>36.18</v>
      </c>
      <c r="K94" s="3" t="n">
        <v>361.8</v>
      </c>
      <c r="L94" s="3" t="n">
        <v>162.81</v>
      </c>
      <c r="M94" s="2" t="n">
        <v>198.99</v>
      </c>
      <c r="N94" s="2" t="inlineStr">
        <is>
          <t>Existing</t>
        </is>
      </c>
      <c r="O94" s="2" t="inlineStr">
        <is>
          <t>Offline</t>
        </is>
      </c>
      <c r="P94" s="3" t="n">
        <v>290.9</v>
      </c>
      <c r="Q94" s="3" t="n">
        <v>124.37</v>
      </c>
      <c r="R94" s="3" t="inlineStr"/>
    </row>
    <row r="95">
      <c r="A95" s="4" t="inlineStr">
        <is>
          <t>ORD-1094</t>
        </is>
      </c>
      <c r="B95" s="5" t="inlineStr">
        <is>
          <t>22-02-2024</t>
        </is>
      </c>
      <c r="C95" s="5" t="inlineStr">
        <is>
          <t>Feb-2024</t>
        </is>
      </c>
      <c r="D95" s="4" t="inlineStr">
        <is>
          <t>North</t>
        </is>
      </c>
      <c r="E95" s="4" t="inlineStr">
        <is>
          <t>Lucknow</t>
        </is>
      </c>
      <c r="F95" s="5" t="inlineStr">
        <is>
          <t>Pooja Joshi</t>
        </is>
      </c>
      <c r="G95" s="5" t="inlineStr">
        <is>
          <t>Apparel</t>
        </is>
      </c>
      <c r="H95" s="4" t="inlineStr">
        <is>
          <t>Formal Shirt</t>
        </is>
      </c>
      <c r="I95" s="4" t="n">
        <v>20</v>
      </c>
      <c r="J95" s="5" t="n">
        <v>84.83</v>
      </c>
      <c r="K95" s="5" t="n">
        <v>1696.6</v>
      </c>
      <c r="L95" s="5" t="n">
        <v>763.47</v>
      </c>
      <c r="M95" s="4" t="n">
        <v>933.13</v>
      </c>
      <c r="N95" s="4" t="inlineStr">
        <is>
          <t>New</t>
        </is>
      </c>
      <c r="O95" s="4" t="inlineStr">
        <is>
          <t>Online</t>
        </is>
      </c>
      <c r="P95" s="5" t="n">
        <v>1883.98</v>
      </c>
      <c r="Q95" s="5" t="n">
        <v>90.05</v>
      </c>
      <c r="R95" s="5" t="inlineStr"/>
    </row>
    <row r="96">
      <c r="A96" s="2" t="inlineStr">
        <is>
          <t>ORD-1095</t>
        </is>
      </c>
      <c r="B96" s="3" t="inlineStr">
        <is>
          <t>23-02-2024</t>
        </is>
      </c>
      <c r="C96" s="3" t="inlineStr">
        <is>
          <t>Feb-2024</t>
        </is>
      </c>
      <c r="D96" s="2" t="inlineStr">
        <is>
          <t>South</t>
        </is>
      </c>
      <c r="E96" s="2" t="inlineStr">
        <is>
          <t>Hyderabad</t>
        </is>
      </c>
      <c r="F96" s="3" t="inlineStr">
        <is>
          <t>Priya Patel</t>
        </is>
      </c>
      <c r="G96" s="3" t="inlineStr">
        <is>
          <t>Electronics</t>
        </is>
      </c>
      <c r="H96" s="2" t="inlineStr">
        <is>
          <t>Tablet</t>
        </is>
      </c>
      <c r="I96" s="2" t="n">
        <v>15</v>
      </c>
      <c r="J96" s="3" t="n">
        <v>544</v>
      </c>
      <c r="K96" s="3" t="n">
        <v>8160</v>
      </c>
      <c r="L96" s="3" t="n">
        <v>4896</v>
      </c>
      <c r="M96" s="2" t="n">
        <v>3264</v>
      </c>
      <c r="N96" s="2" t="inlineStr">
        <is>
          <t>Existing</t>
        </is>
      </c>
      <c r="O96" s="2" t="inlineStr">
        <is>
          <t>Online</t>
        </is>
      </c>
      <c r="P96" s="3" t="n">
        <v>6895.74</v>
      </c>
      <c r="Q96" s="3" t="n">
        <v>118.33</v>
      </c>
      <c r="R96" s="3" t="inlineStr"/>
    </row>
    <row r="97">
      <c r="A97" s="4" t="inlineStr">
        <is>
          <t>ORD-1096</t>
        </is>
      </c>
      <c r="B97" s="5" t="inlineStr">
        <is>
          <t>23-02-2024</t>
        </is>
      </c>
      <c r="C97" s="5" t="inlineStr">
        <is>
          <t>Feb-2024</t>
        </is>
      </c>
      <c r="D97" s="4" t="inlineStr">
        <is>
          <t>East</t>
        </is>
      </c>
      <c r="E97" s="4" t="inlineStr">
        <is>
          <t>Bhubaneswar</t>
        </is>
      </c>
      <c r="F97" s="5" t="inlineStr">
        <is>
          <t>Amit Kumar</t>
        </is>
      </c>
      <c r="G97" s="5" t="inlineStr">
        <is>
          <t>Furniture</t>
        </is>
      </c>
      <c r="H97" s="4" t="inlineStr">
        <is>
          <t>Desk</t>
        </is>
      </c>
      <c r="I97" s="4" t="n">
        <v>5</v>
      </c>
      <c r="J97" s="5" t="n">
        <v>475.79</v>
      </c>
      <c r="K97" s="5" t="n">
        <v>2378.95</v>
      </c>
      <c r="L97" s="5" t="n">
        <v>1308.42</v>
      </c>
      <c r="M97" s="4" t="n">
        <v>1070.53</v>
      </c>
      <c r="N97" s="4" t="inlineStr">
        <is>
          <t>Existing</t>
        </is>
      </c>
      <c r="O97" s="4" t="inlineStr">
        <is>
          <t>Offline</t>
        </is>
      </c>
      <c r="P97" s="5" t="n">
        <v>2890.99</v>
      </c>
      <c r="Q97" s="5" t="n">
        <v>82.29000000000001</v>
      </c>
      <c r="R97" s="5" t="inlineStr"/>
    </row>
    <row r="98">
      <c r="A98" s="2" t="inlineStr">
        <is>
          <t>ORD-1097</t>
        </is>
      </c>
      <c r="B98" s="3" t="inlineStr">
        <is>
          <t>23-02-2024</t>
        </is>
      </c>
      <c r="C98" s="3" t="inlineStr">
        <is>
          <t>Feb-2024</t>
        </is>
      </c>
      <c r="D98" s="2" t="inlineStr">
        <is>
          <t>East</t>
        </is>
      </c>
      <c r="E98" s="2" t="inlineStr">
        <is>
          <t>Bhubaneswar</t>
        </is>
      </c>
      <c r="F98" s="3" t="inlineStr">
        <is>
          <t>Vikram Singh</t>
        </is>
      </c>
      <c r="G98" s="3" t="inlineStr">
        <is>
          <t>Apparel</t>
        </is>
      </c>
      <c r="H98" s="2" t="inlineStr">
        <is>
          <t>Jacket</t>
        </is>
      </c>
      <c r="I98" s="2" t="n">
        <v>15</v>
      </c>
      <c r="J98" s="3" t="n">
        <v>131.11</v>
      </c>
      <c r="K98" s="3" t="n">
        <v>1966.65</v>
      </c>
      <c r="L98" s="3" t="n">
        <v>884.99</v>
      </c>
      <c r="M98" s="2" t="n">
        <v>1081.66</v>
      </c>
      <c r="N98" s="2" t="inlineStr">
        <is>
          <t>New</t>
        </is>
      </c>
      <c r="O98" s="2" t="inlineStr">
        <is>
          <t>Online</t>
        </is>
      </c>
      <c r="P98" s="3" t="n">
        <v>2419.12</v>
      </c>
      <c r="Q98" s="3" t="n">
        <v>81.3</v>
      </c>
      <c r="R98" s="3" t="inlineStr"/>
    </row>
    <row r="99">
      <c r="A99" s="4" t="inlineStr">
        <is>
          <t>ORD-1098</t>
        </is>
      </c>
      <c r="B99" s="5" t="inlineStr">
        <is>
          <t>24-02-2024</t>
        </is>
      </c>
      <c r="C99" s="5" t="inlineStr">
        <is>
          <t>Feb-2024</t>
        </is>
      </c>
      <c r="D99" s="4" t="inlineStr">
        <is>
          <t>West</t>
        </is>
      </c>
      <c r="E99" s="4" t="inlineStr">
        <is>
          <t>Pune</t>
        </is>
      </c>
      <c r="F99" s="5" t="inlineStr">
        <is>
          <t>Deepa Nair</t>
        </is>
      </c>
      <c r="G99" s="5" t="inlineStr">
        <is>
          <t>Electronics</t>
        </is>
      </c>
      <c r="H99" s="4" t="inlineStr">
        <is>
          <t>Smartwatch</t>
        </is>
      </c>
      <c r="I99" s="4" t="n">
        <v>1</v>
      </c>
      <c r="J99" s="5" t="n">
        <v>285.87</v>
      </c>
      <c r="K99" s="5" t="n">
        <v>285.87</v>
      </c>
      <c r="L99" s="5" t="n">
        <v>171.52</v>
      </c>
      <c r="M99" s="4" t="n">
        <v>114.35</v>
      </c>
      <c r="N99" s="4" t="inlineStr">
        <is>
          <t>New</t>
        </is>
      </c>
      <c r="O99" s="4" t="inlineStr">
        <is>
          <t>Offline</t>
        </is>
      </c>
      <c r="P99" s="5" t="n">
        <v>281.38</v>
      </c>
      <c r="Q99" s="5" t="n">
        <v>101.6</v>
      </c>
      <c r="R99" s="5" t="inlineStr"/>
    </row>
    <row r="100">
      <c r="A100" s="2" t="inlineStr">
        <is>
          <t>ORD-1099</t>
        </is>
      </c>
      <c r="B100" s="3" t="inlineStr">
        <is>
          <t>24-02-2024</t>
        </is>
      </c>
      <c r="C100" s="3" t="inlineStr">
        <is>
          <t>Feb-2024</t>
        </is>
      </c>
      <c r="D100" s="2" t="inlineStr">
        <is>
          <t>East</t>
        </is>
      </c>
      <c r="E100" s="2" t="inlineStr">
        <is>
          <t>Patna</t>
        </is>
      </c>
      <c r="F100" s="3" t="inlineStr">
        <is>
          <t>Amit Kumar</t>
        </is>
      </c>
      <c r="G100" s="3" t="inlineStr">
        <is>
          <t>Apparel</t>
        </is>
      </c>
      <c r="H100" s="2" t="inlineStr">
        <is>
          <t>Jacket</t>
        </is>
      </c>
      <c r="I100" s="2" t="n">
        <v>8</v>
      </c>
      <c r="J100" s="3" t="n">
        <v>119.32</v>
      </c>
      <c r="K100" s="3" t="n">
        <v>954.5599999999999</v>
      </c>
      <c r="L100" s="3" t="n">
        <v>429.55</v>
      </c>
      <c r="M100" s="2" t="n">
        <v>525.01</v>
      </c>
      <c r="N100" s="2" t="inlineStr">
        <is>
          <t>Existing</t>
        </is>
      </c>
      <c r="O100" s="2" t="inlineStr">
        <is>
          <t>Online</t>
        </is>
      </c>
      <c r="P100" s="3" t="n">
        <v>1072.76</v>
      </c>
      <c r="Q100" s="3" t="n">
        <v>88.98</v>
      </c>
      <c r="R100" s="3" t="inlineStr"/>
    </row>
    <row r="101">
      <c r="A101" s="4" t="inlineStr">
        <is>
          <t>ORD-1100</t>
        </is>
      </c>
      <c r="B101" s="5" t="inlineStr">
        <is>
          <t>24-02-2024</t>
        </is>
      </c>
      <c r="C101" s="5" t="inlineStr">
        <is>
          <t>Feb-2024</t>
        </is>
      </c>
      <c r="D101" s="4" t="inlineStr">
        <is>
          <t>West</t>
        </is>
      </c>
      <c r="E101" s="4" t="inlineStr">
        <is>
          <t>Pune</t>
        </is>
      </c>
      <c r="F101" s="5" t="inlineStr">
        <is>
          <t>Vikram Singh</t>
        </is>
      </c>
      <c r="G101" s="5" t="inlineStr">
        <is>
          <t>Software</t>
        </is>
      </c>
      <c r="H101" s="4" t="inlineStr">
        <is>
          <t>ERP Suite</t>
        </is>
      </c>
      <c r="I101" s="4" t="n">
        <v>5</v>
      </c>
      <c r="J101" s="5" t="n">
        <v>4545.35</v>
      </c>
      <c r="K101" s="5" t="n">
        <v>22726.75</v>
      </c>
      <c r="L101" s="5" t="n">
        <v>6818.02</v>
      </c>
      <c r="M101" s="4" t="n">
        <v>15908.73</v>
      </c>
      <c r="N101" s="4" t="inlineStr">
        <is>
          <t>New</t>
        </is>
      </c>
      <c r="O101" s="4" t="inlineStr">
        <is>
          <t>Offline</t>
        </is>
      </c>
      <c r="P101" s="5" t="n">
        <v>29498.5</v>
      </c>
      <c r="Q101" s="5" t="n">
        <v>77.04000000000001</v>
      </c>
      <c r="R101" s="5" t="inlineStr"/>
    </row>
    <row r="102">
      <c r="A102" s="2" t="inlineStr">
        <is>
          <t>ORD-1101</t>
        </is>
      </c>
      <c r="B102" s="3" t="inlineStr">
        <is>
          <t>26-02-2024</t>
        </is>
      </c>
      <c r="C102" s="3" t="inlineStr">
        <is>
          <t>Feb-2024</t>
        </is>
      </c>
      <c r="D102" s="2" t="inlineStr">
        <is>
          <t>South</t>
        </is>
      </c>
      <c r="E102" s="2" t="inlineStr">
        <is>
          <t>Hyderabad</t>
        </is>
      </c>
      <c r="F102" s="3" t="inlineStr">
        <is>
          <t>Arjun Mehta</t>
        </is>
      </c>
      <c r="G102" s="3" t="inlineStr">
        <is>
          <t>Software</t>
        </is>
      </c>
      <c r="H102" s="2" t="inlineStr">
        <is>
          <t>HR System</t>
        </is>
      </c>
      <c r="I102" s="2" t="n">
        <v>12</v>
      </c>
      <c r="J102" s="3" t="n">
        <v>2068.19</v>
      </c>
      <c r="K102" s="3" t="n">
        <v>24818.28</v>
      </c>
      <c r="L102" s="3" t="n">
        <v>7445.48</v>
      </c>
      <c r="M102" s="2" t="n">
        <v>17372.8</v>
      </c>
      <c r="N102" s="2" t="inlineStr">
        <is>
          <t>Existing</t>
        </is>
      </c>
      <c r="O102" s="2" t="inlineStr">
        <is>
          <t>Online</t>
        </is>
      </c>
      <c r="P102" s="3" t="n">
        <v>30841.85</v>
      </c>
      <c r="Q102" s="3" t="n">
        <v>80.47</v>
      </c>
      <c r="R102" s="3" t="inlineStr"/>
    </row>
    <row r="103">
      <c r="A103" s="4" t="inlineStr">
        <is>
          <t>ORD-1102</t>
        </is>
      </c>
      <c r="B103" s="5" t="inlineStr">
        <is>
          <t>27-02-2024</t>
        </is>
      </c>
      <c r="C103" s="5" t="inlineStr">
        <is>
          <t>Feb-2024</t>
        </is>
      </c>
      <c r="D103" s="4" t="inlineStr">
        <is>
          <t>North</t>
        </is>
      </c>
      <c r="E103" s="4" t="inlineStr">
        <is>
          <t>Chandigarh</t>
        </is>
      </c>
      <c r="F103" s="5" t="inlineStr">
        <is>
          <t>Kavita Rao</t>
        </is>
      </c>
      <c r="G103" s="5" t="inlineStr">
        <is>
          <t>Software</t>
        </is>
      </c>
      <c r="H103" s="4" t="inlineStr">
        <is>
          <t>Analytics Pro</t>
        </is>
      </c>
      <c r="I103" s="4" t="n">
        <v>2</v>
      </c>
      <c r="J103" s="5" t="n">
        <v>2595.14</v>
      </c>
      <c r="K103" s="5" t="n">
        <v>5190.28</v>
      </c>
      <c r="L103" s="5" t="n">
        <v>1557.08</v>
      </c>
      <c r="M103" s="4" t="n">
        <v>3633.2</v>
      </c>
      <c r="N103" s="4" t="inlineStr">
        <is>
          <t>New</t>
        </is>
      </c>
      <c r="O103" s="4" t="inlineStr">
        <is>
          <t>Offline</t>
        </is>
      </c>
      <c r="P103" s="5" t="n">
        <v>5306.27</v>
      </c>
      <c r="Q103" s="5" t="n">
        <v>97.81</v>
      </c>
      <c r="R103" s="5" t="inlineStr"/>
    </row>
    <row r="104">
      <c r="A104" s="2" t="inlineStr">
        <is>
          <t>ORD-1103</t>
        </is>
      </c>
      <c r="B104" s="3" t="inlineStr">
        <is>
          <t>27-02-2024</t>
        </is>
      </c>
      <c r="C104" s="3" t="inlineStr">
        <is>
          <t>Feb-2024</t>
        </is>
      </c>
      <c r="D104" s="2" t="inlineStr">
        <is>
          <t>South</t>
        </is>
      </c>
      <c r="E104" s="2" t="inlineStr">
        <is>
          <t>Bangalore</t>
        </is>
      </c>
      <c r="F104" s="3" t="inlineStr">
        <is>
          <t>Priya Patel</t>
        </is>
      </c>
      <c r="G104" s="3" t="inlineStr">
        <is>
          <t>Apparel</t>
        </is>
      </c>
      <c r="H104" s="2" t="inlineStr">
        <is>
          <t>T-Shirt</t>
        </is>
      </c>
      <c r="I104" s="2" t="n">
        <v>2</v>
      </c>
      <c r="J104" s="3" t="n">
        <v>39.19</v>
      </c>
      <c r="K104" s="3" t="n">
        <v>78.38</v>
      </c>
      <c r="L104" s="3" t="n">
        <v>35.27</v>
      </c>
      <c r="M104" s="2" t="n">
        <v>43.11</v>
      </c>
      <c r="N104" s="2" t="inlineStr">
        <is>
          <t>New</t>
        </is>
      </c>
      <c r="O104" s="2" t="inlineStr">
        <is>
          <t>Online</t>
        </is>
      </c>
      <c r="P104" s="3" t="n">
        <v>99.90000000000001</v>
      </c>
      <c r="Q104" s="3" t="n">
        <v>78.45999999999999</v>
      </c>
      <c r="R104" s="3" t="inlineStr"/>
    </row>
    <row r="105">
      <c r="A105" s="4" t="inlineStr">
        <is>
          <t>ORD-1104</t>
        </is>
      </c>
      <c r="B105" s="5" t="inlineStr">
        <is>
          <t>27-02-2024</t>
        </is>
      </c>
      <c r="C105" s="5" t="inlineStr">
        <is>
          <t>Feb-2024</t>
        </is>
      </c>
      <c r="D105" s="4" t="inlineStr">
        <is>
          <t>West</t>
        </is>
      </c>
      <c r="E105" s="4" t="inlineStr">
        <is>
          <t>Mumbai</t>
        </is>
      </c>
      <c r="F105" s="5" t="inlineStr">
        <is>
          <t>Sneha Reddy</t>
        </is>
      </c>
      <c r="G105" s="5" t="inlineStr">
        <is>
          <t>Electronics</t>
        </is>
      </c>
      <c r="H105" s="4" t="inlineStr">
        <is>
          <t>Laptop</t>
        </is>
      </c>
      <c r="I105" s="4" t="n">
        <v>11</v>
      </c>
      <c r="J105" s="5" t="n">
        <v>1138.46</v>
      </c>
      <c r="K105" s="5" t="n">
        <v>12523.06</v>
      </c>
      <c r="L105" s="5" t="n">
        <v>7513.84</v>
      </c>
      <c r="M105" s="4" t="n">
        <v>5009.22</v>
      </c>
      <c r="N105" s="4" t="inlineStr">
        <is>
          <t>New</t>
        </is>
      </c>
      <c r="O105" s="4" t="inlineStr">
        <is>
          <t>Online</t>
        </is>
      </c>
      <c r="P105" s="5" t="n">
        <v>10448.05</v>
      </c>
      <c r="Q105" s="5" t="n">
        <v>119.86</v>
      </c>
      <c r="R105" s="5" t="inlineStr"/>
    </row>
    <row r="106">
      <c r="A106" s="2" t="inlineStr">
        <is>
          <t>ORD-1105</t>
        </is>
      </c>
      <c r="B106" s="3" t="inlineStr">
        <is>
          <t>28-02-2024</t>
        </is>
      </c>
      <c r="C106" s="3" t="inlineStr">
        <is>
          <t>Feb-2024</t>
        </is>
      </c>
      <c r="D106" s="2" t="inlineStr">
        <is>
          <t>South</t>
        </is>
      </c>
      <c r="E106" s="2" t="inlineStr">
        <is>
          <t>Hyderabad</t>
        </is>
      </c>
      <c r="F106" s="3" t="inlineStr">
        <is>
          <t>Sneha Reddy</t>
        </is>
      </c>
      <c r="G106" s="3" t="inlineStr">
        <is>
          <t>Furniture</t>
        </is>
      </c>
      <c r="H106" s="2" t="inlineStr">
        <is>
          <t>Bookshelf</t>
        </is>
      </c>
      <c r="I106" s="2" t="n">
        <v>5</v>
      </c>
      <c r="J106" s="3" t="n">
        <v>211.55</v>
      </c>
      <c r="K106" s="3" t="n">
        <v>1057.75</v>
      </c>
      <c r="L106" s="3" t="n">
        <v>581.76</v>
      </c>
      <c r="M106" s="2" t="n">
        <v>475.99</v>
      </c>
      <c r="N106" s="2" t="inlineStr">
        <is>
          <t>New</t>
        </is>
      </c>
      <c r="O106" s="2" t="inlineStr">
        <is>
          <t>Offline</t>
        </is>
      </c>
      <c r="P106" s="3" t="n">
        <v>1300.19</v>
      </c>
      <c r="Q106" s="3" t="n">
        <v>81.34999999999999</v>
      </c>
      <c r="R106" s="3" t="inlineStr"/>
    </row>
    <row r="107">
      <c r="A107" s="4" t="inlineStr">
        <is>
          <t>ORD-1106</t>
        </is>
      </c>
      <c r="B107" s="5" t="inlineStr">
        <is>
          <t>28-02-2024</t>
        </is>
      </c>
      <c r="C107" s="5" t="inlineStr">
        <is>
          <t>Feb-2024</t>
        </is>
      </c>
      <c r="D107" s="4" t="inlineStr">
        <is>
          <t>South</t>
        </is>
      </c>
      <c r="E107" s="4" t="inlineStr">
        <is>
          <t>Chennai</t>
        </is>
      </c>
      <c r="F107" s="5" t="inlineStr">
        <is>
          <t>Ravi Verma</t>
        </is>
      </c>
      <c r="G107" s="5" t="inlineStr">
        <is>
          <t>Apparel</t>
        </is>
      </c>
      <c r="H107" s="4" t="inlineStr">
        <is>
          <t>Formal Shirt</t>
        </is>
      </c>
      <c r="I107" s="4" t="n">
        <v>4</v>
      </c>
      <c r="J107" s="5" t="n">
        <v>82.58</v>
      </c>
      <c r="K107" s="5" t="n">
        <v>330.32</v>
      </c>
      <c r="L107" s="5" t="n">
        <v>148.64</v>
      </c>
      <c r="M107" s="4" t="n">
        <v>181.68</v>
      </c>
      <c r="N107" s="4" t="inlineStr">
        <is>
          <t>New</t>
        </is>
      </c>
      <c r="O107" s="4" t="inlineStr">
        <is>
          <t>Online</t>
        </is>
      </c>
      <c r="P107" s="5" t="n">
        <v>266.71</v>
      </c>
      <c r="Q107" s="5" t="n">
        <v>123.85</v>
      </c>
      <c r="R107" s="5" t="inlineStr"/>
    </row>
    <row r="108">
      <c r="A108" s="2" t="inlineStr">
        <is>
          <t>ORD-1107</t>
        </is>
      </c>
      <c r="B108" s="3" t="inlineStr">
        <is>
          <t>28-02-2024</t>
        </is>
      </c>
      <c r="C108" s="3" t="inlineStr">
        <is>
          <t>Feb-2024</t>
        </is>
      </c>
      <c r="D108" s="2" t="inlineStr">
        <is>
          <t>South</t>
        </is>
      </c>
      <c r="E108" s="2" t="inlineStr">
        <is>
          <t>Hyderabad</t>
        </is>
      </c>
      <c r="F108" s="3" t="inlineStr">
        <is>
          <t>Deepa Nair</t>
        </is>
      </c>
      <c r="G108" s="3" t="inlineStr">
        <is>
          <t>Electronics</t>
        </is>
      </c>
      <c r="H108" s="2" t="inlineStr">
        <is>
          <t>Smartphone</t>
        </is>
      </c>
      <c r="I108" s="2" t="n">
        <v>9</v>
      </c>
      <c r="J108" s="3" t="n">
        <v>728.38</v>
      </c>
      <c r="K108" s="3" t="n">
        <v>6555.42</v>
      </c>
      <c r="L108" s="3" t="n">
        <v>3933.25</v>
      </c>
      <c r="M108" s="2" t="n">
        <v>2622.17</v>
      </c>
      <c r="N108" s="2" t="inlineStr">
        <is>
          <t>Existing</t>
        </is>
      </c>
      <c r="O108" s="2" t="inlineStr">
        <is>
          <t>Online</t>
        </is>
      </c>
      <c r="P108" s="3" t="n">
        <v>7688.41</v>
      </c>
      <c r="Q108" s="3" t="n">
        <v>85.26000000000001</v>
      </c>
      <c r="R108" s="3" t="inlineStr"/>
    </row>
    <row r="109">
      <c r="A109" s="4" t="inlineStr">
        <is>
          <t>ORD-1108</t>
        </is>
      </c>
      <c r="B109" s="5" t="inlineStr">
        <is>
          <t>29-02-2024</t>
        </is>
      </c>
      <c r="C109" s="5" t="inlineStr">
        <is>
          <t>Feb-2024</t>
        </is>
      </c>
      <c r="D109" s="4" t="inlineStr">
        <is>
          <t>West</t>
        </is>
      </c>
      <c r="E109" s="4" t="inlineStr">
        <is>
          <t>Ahmedabad</t>
        </is>
      </c>
      <c r="F109" s="5" t="inlineStr">
        <is>
          <t>Ravi Verma</t>
        </is>
      </c>
      <c r="G109" s="5" t="inlineStr">
        <is>
          <t>Electronics</t>
        </is>
      </c>
      <c r="H109" s="4" t="inlineStr">
        <is>
          <t>Smartwatch</t>
        </is>
      </c>
      <c r="I109" s="4" t="n">
        <v>17</v>
      </c>
      <c r="J109" s="5" t="n">
        <v>283.29</v>
      </c>
      <c r="K109" s="5" t="n">
        <v>4815.93</v>
      </c>
      <c r="L109" s="5" t="n">
        <v>2889.56</v>
      </c>
      <c r="M109" s="4" t="n">
        <v>1926.37</v>
      </c>
      <c r="N109" s="4" t="inlineStr">
        <is>
          <t>New</t>
        </is>
      </c>
      <c r="O109" s="4" t="inlineStr">
        <is>
          <t>Offline</t>
        </is>
      </c>
      <c r="P109" s="5" t="n">
        <v>4955.69</v>
      </c>
      <c r="Q109" s="5" t="n">
        <v>97.18000000000001</v>
      </c>
      <c r="R109" s="5" t="inlineStr"/>
    </row>
    <row r="110">
      <c r="A110" s="2" t="inlineStr">
        <is>
          <t>ORD-1109</t>
        </is>
      </c>
      <c r="B110" s="3" t="inlineStr">
        <is>
          <t>29-02-2024</t>
        </is>
      </c>
      <c r="C110" s="3" t="inlineStr">
        <is>
          <t>Feb-2024</t>
        </is>
      </c>
      <c r="D110" s="2" t="inlineStr">
        <is>
          <t>North</t>
        </is>
      </c>
      <c r="E110" s="2" t="inlineStr">
        <is>
          <t>Delhi</t>
        </is>
      </c>
      <c r="F110" s="3" t="inlineStr">
        <is>
          <t>Pooja Joshi</t>
        </is>
      </c>
      <c r="G110" s="3" t="inlineStr">
        <is>
          <t>Software</t>
        </is>
      </c>
      <c r="H110" s="2" t="inlineStr">
        <is>
          <t>HR System</t>
        </is>
      </c>
      <c r="I110" s="2" t="n">
        <v>4</v>
      </c>
      <c r="J110" s="3" t="n">
        <v>1996.11</v>
      </c>
      <c r="K110" s="3" t="n">
        <v>7984.44</v>
      </c>
      <c r="L110" s="3" t="n">
        <v>2395.33</v>
      </c>
      <c r="M110" s="2" t="n">
        <v>5589.11</v>
      </c>
      <c r="N110" s="2" t="inlineStr">
        <is>
          <t>Existing</t>
        </is>
      </c>
      <c r="O110" s="2" t="inlineStr">
        <is>
          <t>Online</t>
        </is>
      </c>
      <c r="P110" s="3" t="n">
        <v>9977.620000000001</v>
      </c>
      <c r="Q110" s="3" t="n">
        <v>80.02</v>
      </c>
      <c r="R110" s="3" t="inlineStr"/>
    </row>
    <row r="111">
      <c r="A111" s="4" t="inlineStr">
        <is>
          <t>ORD-1110</t>
        </is>
      </c>
      <c r="B111" s="5" t="inlineStr">
        <is>
          <t>01-03-2024</t>
        </is>
      </c>
      <c r="C111" s="5" t="inlineStr">
        <is>
          <t>Mar-2024</t>
        </is>
      </c>
      <c r="D111" s="4" t="inlineStr">
        <is>
          <t>South</t>
        </is>
      </c>
      <c r="E111" s="4" t="inlineStr">
        <is>
          <t>Chennai</t>
        </is>
      </c>
      <c r="F111" s="5" t="inlineStr">
        <is>
          <t>Arjun Mehta</t>
        </is>
      </c>
      <c r="G111" s="5" t="inlineStr">
        <is>
          <t>Apparel</t>
        </is>
      </c>
      <c r="H111" s="4" t="inlineStr">
        <is>
          <t>T-Shirt</t>
        </is>
      </c>
      <c r="I111" s="4" t="n">
        <v>13</v>
      </c>
      <c r="J111" s="5" t="n">
        <v>43.96</v>
      </c>
      <c r="K111" s="5" t="n">
        <v>571.48</v>
      </c>
      <c r="L111" s="5" t="n">
        <v>257.17</v>
      </c>
      <c r="M111" s="4" t="n">
        <v>314.31</v>
      </c>
      <c r="N111" s="4" t="inlineStr">
        <is>
          <t>Existing</t>
        </is>
      </c>
      <c r="O111" s="4" t="inlineStr">
        <is>
          <t>Offline</t>
        </is>
      </c>
      <c r="P111" s="5" t="n">
        <v>601.64</v>
      </c>
      <c r="Q111" s="5" t="n">
        <v>94.98999999999999</v>
      </c>
      <c r="R111" s="5" t="inlineStr"/>
    </row>
    <row r="112">
      <c r="A112" s="2" t="inlineStr">
        <is>
          <t>ORD-1111</t>
        </is>
      </c>
      <c r="B112" s="3" t="inlineStr">
        <is>
          <t>01-03-2024</t>
        </is>
      </c>
      <c r="C112" s="3" t="inlineStr">
        <is>
          <t>Mar-2024</t>
        </is>
      </c>
      <c r="D112" s="2" t="inlineStr">
        <is>
          <t>West</t>
        </is>
      </c>
      <c r="E112" s="2" t="inlineStr">
        <is>
          <t>Mumbai</t>
        </is>
      </c>
      <c r="F112" s="3" t="inlineStr">
        <is>
          <t>Priya Patel</t>
        </is>
      </c>
      <c r="G112" s="3" t="inlineStr">
        <is>
          <t>Furniture</t>
        </is>
      </c>
      <c r="H112" s="2" t="inlineStr">
        <is>
          <t>Cabinet</t>
        </is>
      </c>
      <c r="I112" s="2" t="n">
        <v>15</v>
      </c>
      <c r="J112" s="3" t="n">
        <v>323.29</v>
      </c>
      <c r="K112" s="3" t="n">
        <v>4849.35</v>
      </c>
      <c r="L112" s="3" t="n">
        <v>2667.14</v>
      </c>
      <c r="M112" s="2" t="n">
        <v>2182.21</v>
      </c>
      <c r="N112" s="2" t="inlineStr">
        <is>
          <t>Existing</t>
        </is>
      </c>
      <c r="O112" s="2" t="inlineStr">
        <is>
          <t>Offline</t>
        </is>
      </c>
      <c r="P112" s="3" t="n">
        <v>5885.7</v>
      </c>
      <c r="Q112" s="3" t="n">
        <v>82.39</v>
      </c>
      <c r="R112" s="3" t="inlineStr"/>
    </row>
    <row r="113">
      <c r="A113" s="4" t="inlineStr">
        <is>
          <t>ORD-1112</t>
        </is>
      </c>
      <c r="B113" s="5" t="inlineStr">
        <is>
          <t>02-03-2024</t>
        </is>
      </c>
      <c r="C113" s="5" t="inlineStr">
        <is>
          <t>Mar-2024</t>
        </is>
      </c>
      <c r="D113" s="4" t="inlineStr">
        <is>
          <t>West</t>
        </is>
      </c>
      <c r="E113" s="4" t="inlineStr">
        <is>
          <t>Pune</t>
        </is>
      </c>
      <c r="F113" s="5" t="inlineStr">
        <is>
          <t>Priya Patel</t>
        </is>
      </c>
      <c r="G113" s="5" t="inlineStr">
        <is>
          <t>Apparel</t>
        </is>
      </c>
      <c r="H113" s="4" t="inlineStr">
        <is>
          <t>Trousers</t>
        </is>
      </c>
      <c r="I113" s="4" t="n">
        <v>11</v>
      </c>
      <c r="J113" s="5" t="n">
        <v>72.31</v>
      </c>
      <c r="K113" s="5" t="n">
        <v>795.41</v>
      </c>
      <c r="L113" s="5" t="n">
        <v>357.93</v>
      </c>
      <c r="M113" s="4" t="n">
        <v>437.48</v>
      </c>
      <c r="N113" s="4" t="inlineStr">
        <is>
          <t>Existing</t>
        </is>
      </c>
      <c r="O113" s="4" t="inlineStr">
        <is>
          <t>Online</t>
        </is>
      </c>
      <c r="P113" s="5" t="n">
        <v>909.48</v>
      </c>
      <c r="Q113" s="5" t="n">
        <v>87.45999999999999</v>
      </c>
      <c r="R113" s="5" t="inlineStr"/>
    </row>
    <row r="114">
      <c r="A114" s="2" t="inlineStr">
        <is>
          <t>ORD-1113</t>
        </is>
      </c>
      <c r="B114" s="3" t="inlineStr">
        <is>
          <t>02-03-2024</t>
        </is>
      </c>
      <c r="C114" s="3" t="inlineStr">
        <is>
          <t>Mar-2024</t>
        </is>
      </c>
      <c r="D114" s="2" t="inlineStr">
        <is>
          <t>West</t>
        </is>
      </c>
      <c r="E114" s="2" t="inlineStr">
        <is>
          <t>Mumbai</t>
        </is>
      </c>
      <c r="F114" s="3" t="inlineStr">
        <is>
          <t>Priya Patel</t>
        </is>
      </c>
      <c r="G114" s="3" t="inlineStr">
        <is>
          <t>Electronics</t>
        </is>
      </c>
      <c r="H114" s="2" t="inlineStr">
        <is>
          <t>Laptop</t>
        </is>
      </c>
      <c r="I114" s="2" t="n">
        <v>14</v>
      </c>
      <c r="J114" s="3" t="n">
        <v>1103.18</v>
      </c>
      <c r="K114" s="3" t="n">
        <v>15444.52</v>
      </c>
      <c r="L114" s="3" t="n">
        <v>9266.709999999999</v>
      </c>
      <c r="M114" s="2" t="n">
        <v>6177.81</v>
      </c>
      <c r="N114" s="2" t="inlineStr">
        <is>
          <t>Existing</t>
        </is>
      </c>
      <c r="O114" s="2" t="inlineStr">
        <is>
          <t>Online</t>
        </is>
      </c>
      <c r="P114" s="3" t="n">
        <v>16652.06</v>
      </c>
      <c r="Q114" s="3" t="n">
        <v>92.75</v>
      </c>
      <c r="R114" s="3" t="inlineStr"/>
    </row>
    <row r="115">
      <c r="A115" s="4" t="inlineStr">
        <is>
          <t>ORD-1114</t>
        </is>
      </c>
      <c r="B115" s="5" t="inlineStr">
        <is>
          <t>03-03-2024</t>
        </is>
      </c>
      <c r="C115" s="5" t="inlineStr">
        <is>
          <t>Mar-2024</t>
        </is>
      </c>
      <c r="D115" s="4" t="inlineStr">
        <is>
          <t>North</t>
        </is>
      </c>
      <c r="E115" s="4" t="inlineStr">
        <is>
          <t>Chandigarh</t>
        </is>
      </c>
      <c r="F115" s="5" t="inlineStr">
        <is>
          <t>Deepa Nair</t>
        </is>
      </c>
      <c r="G115" s="5" t="inlineStr">
        <is>
          <t>Software</t>
        </is>
      </c>
      <c r="H115" s="4" t="inlineStr">
        <is>
          <t>ERP Suite</t>
        </is>
      </c>
      <c r="I115" s="4" t="n">
        <v>10</v>
      </c>
      <c r="J115" s="5" t="n">
        <v>5100.41</v>
      </c>
      <c r="K115" s="5" t="n">
        <v>51004.1</v>
      </c>
      <c r="L115" s="5" t="n">
        <v>15301.23</v>
      </c>
      <c r="M115" s="4" t="n">
        <v>35702.87</v>
      </c>
      <c r="N115" s="4" t="inlineStr">
        <is>
          <t>Existing</t>
        </is>
      </c>
      <c r="O115" s="4" t="inlineStr">
        <is>
          <t>Online</t>
        </is>
      </c>
      <c r="P115" s="5" t="n">
        <v>55541.39</v>
      </c>
      <c r="Q115" s="5" t="n">
        <v>91.83</v>
      </c>
      <c r="R115" s="5" t="inlineStr"/>
    </row>
    <row r="116">
      <c r="A116" s="2" t="inlineStr">
        <is>
          <t>ORD-1115</t>
        </is>
      </c>
      <c r="B116" s="3" t="inlineStr">
        <is>
          <t>04-03-2024</t>
        </is>
      </c>
      <c r="C116" s="3" t="inlineStr">
        <is>
          <t>Mar-2024</t>
        </is>
      </c>
      <c r="D116" s="2" t="inlineStr">
        <is>
          <t>South</t>
        </is>
      </c>
      <c r="E116" s="2" t="inlineStr">
        <is>
          <t>Hyderabad</t>
        </is>
      </c>
      <c r="F116" s="3" t="inlineStr">
        <is>
          <t>Pooja Joshi</t>
        </is>
      </c>
      <c r="G116" s="3" t="inlineStr">
        <is>
          <t>Furniture</t>
        </is>
      </c>
      <c r="H116" s="2" t="inlineStr">
        <is>
          <t>Office Chair</t>
        </is>
      </c>
      <c r="I116" s="2" t="n">
        <v>12</v>
      </c>
      <c r="J116" s="3" t="n">
        <v>374.18</v>
      </c>
      <c r="K116" s="3" t="n">
        <v>4490.16</v>
      </c>
      <c r="L116" s="3" t="n">
        <v>2469.59</v>
      </c>
      <c r="M116" s="2" t="n">
        <v>2020.57</v>
      </c>
      <c r="N116" s="2" t="inlineStr">
        <is>
          <t>Existing</t>
        </is>
      </c>
      <c r="O116" s="2" t="inlineStr">
        <is>
          <t>Online</t>
        </is>
      </c>
      <c r="P116" s="3" t="n">
        <v>5304.24</v>
      </c>
      <c r="Q116" s="3" t="n">
        <v>84.65000000000001</v>
      </c>
      <c r="R116" s="3" t="inlineStr"/>
    </row>
    <row r="117">
      <c r="A117" s="4" t="inlineStr">
        <is>
          <t>ORD-1116</t>
        </is>
      </c>
      <c r="B117" s="5" t="inlineStr">
        <is>
          <t>05-03-2024</t>
        </is>
      </c>
      <c r="C117" s="5" t="inlineStr">
        <is>
          <t>Mar-2024</t>
        </is>
      </c>
      <c r="D117" s="4" t="inlineStr">
        <is>
          <t>South</t>
        </is>
      </c>
      <c r="E117" s="4" t="inlineStr">
        <is>
          <t>Bangalore</t>
        </is>
      </c>
      <c r="F117" s="5" t="inlineStr">
        <is>
          <t>Ravi Verma</t>
        </is>
      </c>
      <c r="G117" s="5" t="inlineStr">
        <is>
          <t>Electronics</t>
        </is>
      </c>
      <c r="H117" s="4" t="inlineStr">
        <is>
          <t>Tablet</t>
        </is>
      </c>
      <c r="I117" s="4" t="n">
        <v>1</v>
      </c>
      <c r="J117" s="5" t="n">
        <v>561.65</v>
      </c>
      <c r="K117" s="5" t="n">
        <v>561.65</v>
      </c>
      <c r="L117" s="5" t="n">
        <v>336.99</v>
      </c>
      <c r="M117" s="4" t="n">
        <v>224.66</v>
      </c>
      <c r="N117" s="4" t="inlineStr">
        <is>
          <t>Existing</t>
        </is>
      </c>
      <c r="O117" s="4" t="inlineStr">
        <is>
          <t>Offline</t>
        </is>
      </c>
      <c r="P117" s="5" t="n">
        <v>547.9</v>
      </c>
      <c r="Q117" s="5" t="n">
        <v>102.51</v>
      </c>
      <c r="R117" s="5" t="inlineStr"/>
    </row>
    <row r="118">
      <c r="A118" s="2" t="inlineStr">
        <is>
          <t>ORD-1117</t>
        </is>
      </c>
      <c r="B118" s="3" t="inlineStr">
        <is>
          <t>05-03-2024</t>
        </is>
      </c>
      <c r="C118" s="3" t="inlineStr">
        <is>
          <t>Mar-2024</t>
        </is>
      </c>
      <c r="D118" s="2" t="inlineStr">
        <is>
          <t>South</t>
        </is>
      </c>
      <c r="E118" s="2" t="inlineStr">
        <is>
          <t>Chennai</t>
        </is>
      </c>
      <c r="F118" s="3" t="inlineStr">
        <is>
          <t>Kavita Rao</t>
        </is>
      </c>
      <c r="G118" s="3" t="inlineStr">
        <is>
          <t>Software</t>
        </is>
      </c>
      <c r="H118" s="2" t="inlineStr">
        <is>
          <t>ERP Suite</t>
        </is>
      </c>
      <c r="I118" s="2" t="n">
        <v>5</v>
      </c>
      <c r="J118" s="3" t="n">
        <v>5240.97</v>
      </c>
      <c r="K118" s="3" t="n">
        <v>26204.85</v>
      </c>
      <c r="L118" s="3" t="n">
        <v>7861.45</v>
      </c>
      <c r="M118" s="2" t="n">
        <v>18343.4</v>
      </c>
      <c r="N118" s="2" t="inlineStr">
        <is>
          <t>New</t>
        </is>
      </c>
      <c r="O118" s="2" t="inlineStr">
        <is>
          <t>Online</t>
        </is>
      </c>
      <c r="P118" s="3" t="n">
        <v>30739.75</v>
      </c>
      <c r="Q118" s="3" t="n">
        <v>85.25</v>
      </c>
      <c r="R118" s="3" t="inlineStr"/>
    </row>
    <row r="119">
      <c r="A119" s="4" t="inlineStr">
        <is>
          <t>ORD-1118</t>
        </is>
      </c>
      <c r="B119" s="5" t="inlineStr">
        <is>
          <t>05-03-2024</t>
        </is>
      </c>
      <c r="C119" s="5" t="inlineStr">
        <is>
          <t>Mar-2024</t>
        </is>
      </c>
      <c r="D119" s="4" t="inlineStr">
        <is>
          <t>South</t>
        </is>
      </c>
      <c r="E119" s="4" t="inlineStr">
        <is>
          <t>Bangalore</t>
        </is>
      </c>
      <c r="F119" s="5" t="inlineStr">
        <is>
          <t>Amit Kumar</t>
        </is>
      </c>
      <c r="G119" s="5" t="inlineStr">
        <is>
          <t>Software</t>
        </is>
      </c>
      <c r="H119" s="4" t="inlineStr">
        <is>
          <t>Analytics Pro</t>
        </is>
      </c>
      <c r="I119" s="4" t="n">
        <v>6</v>
      </c>
      <c r="J119" s="5" t="n">
        <v>2435.03</v>
      </c>
      <c r="K119" s="5" t="n">
        <v>14610.18</v>
      </c>
      <c r="L119" s="5" t="n">
        <v>4383.05</v>
      </c>
      <c r="M119" s="4" t="n">
        <v>10227.13</v>
      </c>
      <c r="N119" s="4" t="inlineStr">
        <is>
          <t>Existing</t>
        </is>
      </c>
      <c r="O119" s="4" t="inlineStr">
        <is>
          <t>Online</t>
        </is>
      </c>
      <c r="P119" s="5" t="n">
        <v>18141.04</v>
      </c>
      <c r="Q119" s="5" t="n">
        <v>80.54000000000001</v>
      </c>
      <c r="R119" s="5" t="inlineStr"/>
    </row>
    <row r="120">
      <c r="A120" s="2" t="inlineStr">
        <is>
          <t>ORD-1119</t>
        </is>
      </c>
      <c r="B120" s="3" t="inlineStr">
        <is>
          <t>06-03-2024</t>
        </is>
      </c>
      <c r="C120" s="3" t="inlineStr">
        <is>
          <t>Mar-2024</t>
        </is>
      </c>
      <c r="D120" s="2" t="inlineStr">
        <is>
          <t>South</t>
        </is>
      </c>
      <c r="E120" s="2" t="inlineStr">
        <is>
          <t>Hyderabad</t>
        </is>
      </c>
      <c r="F120" s="3" t="inlineStr">
        <is>
          <t>Rahul Sharma</t>
        </is>
      </c>
      <c r="G120" s="3" t="inlineStr">
        <is>
          <t>Electronics</t>
        </is>
      </c>
      <c r="H120" s="2" t="inlineStr">
        <is>
          <t>Tablet</t>
        </is>
      </c>
      <c r="I120" s="2" t="n">
        <v>15</v>
      </c>
      <c r="J120" s="3" t="n">
        <v>619.4299999999999</v>
      </c>
      <c r="K120" s="3" t="n">
        <v>9291.450000000001</v>
      </c>
      <c r="L120" s="3" t="n">
        <v>5574.87</v>
      </c>
      <c r="M120" s="2" t="n">
        <v>3716.58</v>
      </c>
      <c r="N120" s="2" t="inlineStr">
        <is>
          <t>Existing</t>
        </is>
      </c>
      <c r="O120" s="2" t="inlineStr">
        <is>
          <t>Offline</t>
        </is>
      </c>
      <c r="P120" s="3" t="n">
        <v>9357.34</v>
      </c>
      <c r="Q120" s="3" t="n">
        <v>99.3</v>
      </c>
      <c r="R120" s="3" t="inlineStr"/>
    </row>
    <row r="121">
      <c r="A121" s="4" t="inlineStr">
        <is>
          <t>ORD-1120</t>
        </is>
      </c>
      <c r="B121" s="5" t="inlineStr">
        <is>
          <t>07-03-2024</t>
        </is>
      </c>
      <c r="C121" s="5" t="inlineStr">
        <is>
          <t>Mar-2024</t>
        </is>
      </c>
      <c r="D121" s="4" t="inlineStr">
        <is>
          <t>North</t>
        </is>
      </c>
      <c r="E121" s="4" t="inlineStr">
        <is>
          <t>Chandigarh</t>
        </is>
      </c>
      <c r="F121" s="5" t="inlineStr">
        <is>
          <t>Amit Kumar</t>
        </is>
      </c>
      <c r="G121" s="5" t="inlineStr">
        <is>
          <t>Electronics</t>
        </is>
      </c>
      <c r="H121" s="4" t="inlineStr">
        <is>
          <t>Tablet</t>
        </is>
      </c>
      <c r="I121" s="4" t="n">
        <v>19</v>
      </c>
      <c r="J121" s="5" t="n">
        <v>598.4</v>
      </c>
      <c r="K121" s="5" t="n">
        <v>11369.6</v>
      </c>
      <c r="L121" s="5" t="n">
        <v>6821.76</v>
      </c>
      <c r="M121" s="4" t="n">
        <v>4547.84</v>
      </c>
      <c r="N121" s="4" t="inlineStr">
        <is>
          <t>Existing</t>
        </is>
      </c>
      <c r="O121" s="4" t="inlineStr">
        <is>
          <t>Online</t>
        </is>
      </c>
      <c r="P121" s="5" t="n">
        <v>10349.28</v>
      </c>
      <c r="Q121" s="5" t="n">
        <v>109.86</v>
      </c>
      <c r="R121" s="5" t="inlineStr"/>
    </row>
    <row r="122">
      <c r="A122" s="2" t="inlineStr">
        <is>
          <t>ORD-1121</t>
        </is>
      </c>
      <c r="B122" s="3" t="inlineStr">
        <is>
          <t>08-03-2024</t>
        </is>
      </c>
      <c r="C122" s="3" t="inlineStr">
        <is>
          <t>Mar-2024</t>
        </is>
      </c>
      <c r="D122" s="2" t="inlineStr">
        <is>
          <t>North</t>
        </is>
      </c>
      <c r="E122" s="2" t="inlineStr">
        <is>
          <t>Delhi</t>
        </is>
      </c>
      <c r="F122" s="3" t="inlineStr">
        <is>
          <t>Sneha Reddy</t>
        </is>
      </c>
      <c r="G122" s="3" t="inlineStr">
        <is>
          <t>Apparel</t>
        </is>
      </c>
      <c r="H122" s="2" t="inlineStr">
        <is>
          <t>Formal Shirt</t>
        </is>
      </c>
      <c r="I122" s="2" t="n">
        <v>5</v>
      </c>
      <c r="J122" s="3" t="n">
        <v>84.23</v>
      </c>
      <c r="K122" s="3" t="n">
        <v>421.15</v>
      </c>
      <c r="L122" s="3" t="n">
        <v>189.52</v>
      </c>
      <c r="M122" s="2" t="n">
        <v>231.63</v>
      </c>
      <c r="N122" s="2" t="inlineStr">
        <is>
          <t>Existing</t>
        </is>
      </c>
      <c r="O122" s="2" t="inlineStr">
        <is>
          <t>Offline</t>
        </is>
      </c>
      <c r="P122" s="3" t="n">
        <v>362.19</v>
      </c>
      <c r="Q122" s="3" t="n">
        <v>116.28</v>
      </c>
      <c r="R122" s="3" t="inlineStr"/>
    </row>
    <row r="123">
      <c r="A123" s="4" t="inlineStr">
        <is>
          <t>ORD-1122</t>
        </is>
      </c>
      <c r="B123" s="5" t="inlineStr">
        <is>
          <t>08-03-2024</t>
        </is>
      </c>
      <c r="C123" s="5" t="inlineStr">
        <is>
          <t>Mar-2024</t>
        </is>
      </c>
      <c r="D123" s="4" t="inlineStr">
        <is>
          <t>West</t>
        </is>
      </c>
      <c r="E123" s="4" t="inlineStr">
        <is>
          <t>Pune</t>
        </is>
      </c>
      <c r="F123" s="5" t="inlineStr">
        <is>
          <t>Amit Kumar</t>
        </is>
      </c>
      <c r="G123" s="5" t="inlineStr">
        <is>
          <t>Furniture</t>
        </is>
      </c>
      <c r="H123" s="4" t="inlineStr">
        <is>
          <t>Desk</t>
        </is>
      </c>
      <c r="I123" s="4" t="n">
        <v>13</v>
      </c>
      <c r="J123" s="5" t="n">
        <v>452.93</v>
      </c>
      <c r="K123" s="5" t="n">
        <v>5888.09</v>
      </c>
      <c r="L123" s="5" t="n">
        <v>3238.45</v>
      </c>
      <c r="M123" s="4" t="n">
        <v>2649.64</v>
      </c>
      <c r="N123" s="4" t="inlineStr">
        <is>
          <t>New</t>
        </is>
      </c>
      <c r="O123" s="4" t="inlineStr">
        <is>
          <t>Offline</t>
        </is>
      </c>
      <c r="P123" s="5" t="n">
        <v>4922.67</v>
      </c>
      <c r="Q123" s="5" t="n">
        <v>119.61</v>
      </c>
      <c r="R123" s="5" t="inlineStr"/>
    </row>
    <row r="124">
      <c r="A124" s="2" t="inlineStr">
        <is>
          <t>ORD-1123</t>
        </is>
      </c>
      <c r="B124" s="3" t="inlineStr">
        <is>
          <t>08-03-2024</t>
        </is>
      </c>
      <c r="C124" s="3" t="inlineStr">
        <is>
          <t>Mar-2024</t>
        </is>
      </c>
      <c r="D124" s="2" t="inlineStr">
        <is>
          <t>North</t>
        </is>
      </c>
      <c r="E124" s="2" t="inlineStr">
        <is>
          <t>Chandigarh</t>
        </is>
      </c>
      <c r="F124" s="3" t="inlineStr">
        <is>
          <t>Rahul Sharma</t>
        </is>
      </c>
      <c r="G124" s="3" t="inlineStr">
        <is>
          <t>Software</t>
        </is>
      </c>
      <c r="H124" s="2" t="inlineStr">
        <is>
          <t>ERP Suite</t>
        </is>
      </c>
      <c r="I124" s="2" t="n">
        <v>11</v>
      </c>
      <c r="J124" s="3" t="n">
        <v>5075.76</v>
      </c>
      <c r="K124" s="3" t="n">
        <v>55833.36</v>
      </c>
      <c r="L124" s="3" t="n">
        <v>16750.01</v>
      </c>
      <c r="M124" s="2" t="n">
        <v>39083.35</v>
      </c>
      <c r="N124" s="2" t="inlineStr">
        <is>
          <t>Existing</t>
        </is>
      </c>
      <c r="O124" s="2" t="inlineStr">
        <is>
          <t>Offline</t>
        </is>
      </c>
      <c r="P124" s="3" t="n">
        <v>52748.99</v>
      </c>
      <c r="Q124" s="3" t="n">
        <v>105.85</v>
      </c>
      <c r="R124" s="3" t="inlineStr"/>
    </row>
    <row r="125">
      <c r="A125" s="4" t="inlineStr">
        <is>
          <t>ORD-1124</t>
        </is>
      </c>
      <c r="B125" s="5" t="inlineStr">
        <is>
          <t>09-03-2024</t>
        </is>
      </c>
      <c r="C125" s="5" t="inlineStr">
        <is>
          <t>Mar-2024</t>
        </is>
      </c>
      <c r="D125" s="4" t="inlineStr">
        <is>
          <t>North</t>
        </is>
      </c>
      <c r="E125" s="4" t="inlineStr">
        <is>
          <t>Chandigarh</t>
        </is>
      </c>
      <c r="F125" s="5" t="inlineStr">
        <is>
          <t>Arjun Mehta</t>
        </is>
      </c>
      <c r="G125" s="5" t="inlineStr">
        <is>
          <t>Software</t>
        </is>
      </c>
      <c r="H125" s="4" t="inlineStr">
        <is>
          <t>Analytics Pro</t>
        </is>
      </c>
      <c r="I125" s="4" t="n">
        <v>3</v>
      </c>
      <c r="J125" s="5" t="n">
        <v>2468.36</v>
      </c>
      <c r="K125" s="5" t="n">
        <v>7405.08</v>
      </c>
      <c r="L125" s="5" t="n">
        <v>2221.52</v>
      </c>
      <c r="M125" s="4" t="n">
        <v>5183.56</v>
      </c>
      <c r="N125" s="4" t="inlineStr">
        <is>
          <t>New</t>
        </is>
      </c>
      <c r="O125" s="4" t="inlineStr">
        <is>
          <t>Online</t>
        </is>
      </c>
      <c r="P125" s="5" t="n">
        <v>7537.17</v>
      </c>
      <c r="Q125" s="5" t="n">
        <v>98.25</v>
      </c>
      <c r="R125" s="5" t="inlineStr"/>
    </row>
    <row r="126">
      <c r="A126" s="2" t="inlineStr">
        <is>
          <t>ORD-1125</t>
        </is>
      </c>
      <c r="B126" s="3" t="inlineStr">
        <is>
          <t>09-03-2024</t>
        </is>
      </c>
      <c r="C126" s="3" t="inlineStr">
        <is>
          <t>Mar-2024</t>
        </is>
      </c>
      <c r="D126" s="2" t="inlineStr">
        <is>
          <t>West</t>
        </is>
      </c>
      <c r="E126" s="2" t="inlineStr">
        <is>
          <t>Pune</t>
        </is>
      </c>
      <c r="F126" s="3" t="inlineStr">
        <is>
          <t>Priya Patel</t>
        </is>
      </c>
      <c r="G126" s="3" t="inlineStr">
        <is>
          <t>Software</t>
        </is>
      </c>
      <c r="H126" s="2" t="inlineStr">
        <is>
          <t>Analytics Pro</t>
        </is>
      </c>
      <c r="I126" s="2" t="n">
        <v>11</v>
      </c>
      <c r="J126" s="3" t="n">
        <v>2360.79</v>
      </c>
      <c r="K126" s="3" t="n">
        <v>25968.69</v>
      </c>
      <c r="L126" s="3" t="n">
        <v>7790.61</v>
      </c>
      <c r="M126" s="2" t="n">
        <v>18178.08</v>
      </c>
      <c r="N126" s="2" t="inlineStr">
        <is>
          <t>New</t>
        </is>
      </c>
      <c r="O126" s="2" t="inlineStr">
        <is>
          <t>Online</t>
        </is>
      </c>
      <c r="P126" s="3" t="n">
        <v>27403.24</v>
      </c>
      <c r="Q126" s="3" t="n">
        <v>94.77</v>
      </c>
      <c r="R126" s="3" t="inlineStr"/>
    </row>
    <row r="127">
      <c r="A127" s="4" t="inlineStr">
        <is>
          <t>ORD-1126</t>
        </is>
      </c>
      <c r="B127" s="5" t="inlineStr">
        <is>
          <t>11-03-2024</t>
        </is>
      </c>
      <c r="C127" s="5" t="inlineStr">
        <is>
          <t>Mar-2024</t>
        </is>
      </c>
      <c r="D127" s="4" t="inlineStr">
        <is>
          <t>South</t>
        </is>
      </c>
      <c r="E127" s="4" t="inlineStr">
        <is>
          <t>Bangalore</t>
        </is>
      </c>
      <c r="F127" s="5" t="inlineStr">
        <is>
          <t>Deepa Nair</t>
        </is>
      </c>
      <c r="G127" s="5" t="inlineStr">
        <is>
          <t>Furniture</t>
        </is>
      </c>
      <c r="H127" s="4" t="inlineStr">
        <is>
          <t>Desk</t>
        </is>
      </c>
      <c r="I127" s="4" t="n">
        <v>4</v>
      </c>
      <c r="J127" s="5" t="n">
        <v>418.18</v>
      </c>
      <c r="K127" s="5" t="n">
        <v>1672.72</v>
      </c>
      <c r="L127" s="5" t="n">
        <v>920</v>
      </c>
      <c r="M127" s="4" t="n">
        <v>752.72</v>
      </c>
      <c r="N127" s="4" t="inlineStr">
        <is>
          <t>New</t>
        </is>
      </c>
      <c r="O127" s="4" t="inlineStr">
        <is>
          <t>Online</t>
        </is>
      </c>
      <c r="P127" s="5" t="n">
        <v>1842</v>
      </c>
      <c r="Q127" s="5" t="n">
        <v>90.81</v>
      </c>
      <c r="R127" s="5" t="inlineStr"/>
    </row>
    <row r="128">
      <c r="A128" s="2" t="inlineStr">
        <is>
          <t>ORD-1127</t>
        </is>
      </c>
      <c r="B128" s="3" t="inlineStr">
        <is>
          <t>11-03-2024</t>
        </is>
      </c>
      <c r="C128" s="3" t="inlineStr">
        <is>
          <t>Mar-2024</t>
        </is>
      </c>
      <c r="D128" s="2" t="inlineStr">
        <is>
          <t>North</t>
        </is>
      </c>
      <c r="E128" s="2" t="inlineStr">
        <is>
          <t>Delhi</t>
        </is>
      </c>
      <c r="F128" s="3" t="inlineStr">
        <is>
          <t>Pooja Joshi</t>
        </is>
      </c>
      <c r="G128" s="3" t="inlineStr">
        <is>
          <t>Software</t>
        </is>
      </c>
      <c r="H128" s="2" t="inlineStr">
        <is>
          <t>HR System</t>
        </is>
      </c>
      <c r="I128" s="2" t="n">
        <v>19</v>
      </c>
      <c r="J128" s="3" t="n">
        <v>2057.2</v>
      </c>
      <c r="K128" s="3" t="n">
        <v>39086.8</v>
      </c>
      <c r="L128" s="3" t="n">
        <v>11726.04</v>
      </c>
      <c r="M128" s="2" t="n">
        <v>27360.76</v>
      </c>
      <c r="N128" s="2" t="inlineStr">
        <is>
          <t>Existing</t>
        </is>
      </c>
      <c r="O128" s="2" t="inlineStr">
        <is>
          <t>Offline</t>
        </is>
      </c>
      <c r="P128" s="3" t="n">
        <v>34219.66</v>
      </c>
      <c r="Q128" s="3" t="n">
        <v>114.22</v>
      </c>
      <c r="R128" s="3" t="inlineStr"/>
    </row>
    <row r="129">
      <c r="A129" s="4" t="inlineStr">
        <is>
          <t>ORD-1128</t>
        </is>
      </c>
      <c r="B129" s="5" t="inlineStr">
        <is>
          <t>11-03-2024</t>
        </is>
      </c>
      <c r="C129" s="5" t="inlineStr">
        <is>
          <t>Mar-2024</t>
        </is>
      </c>
      <c r="D129" s="4" t="inlineStr">
        <is>
          <t>North</t>
        </is>
      </c>
      <c r="E129" s="4" t="inlineStr">
        <is>
          <t>Chandigarh</t>
        </is>
      </c>
      <c r="F129" s="5" t="inlineStr">
        <is>
          <t>Pooja Joshi</t>
        </is>
      </c>
      <c r="G129" s="5" t="inlineStr">
        <is>
          <t>Apparel</t>
        </is>
      </c>
      <c r="H129" s="4" t="inlineStr">
        <is>
          <t>T-Shirt</t>
        </is>
      </c>
      <c r="I129" s="4" t="n">
        <v>19</v>
      </c>
      <c r="J129" s="5" t="n">
        <v>36.45</v>
      </c>
      <c r="K129" s="5" t="n">
        <v>692.55</v>
      </c>
      <c r="L129" s="5" t="n">
        <v>311.65</v>
      </c>
      <c r="M129" s="4" t="n">
        <v>380.9</v>
      </c>
      <c r="N129" s="4" t="inlineStr">
        <is>
          <t>New</t>
        </is>
      </c>
      <c r="O129" s="4" t="inlineStr">
        <is>
          <t>Offline</t>
        </is>
      </c>
      <c r="P129" s="5" t="n">
        <v>713.9299999999999</v>
      </c>
      <c r="Q129" s="5" t="n">
        <v>97.01000000000001</v>
      </c>
      <c r="R129" s="5" t="inlineStr"/>
    </row>
    <row r="130">
      <c r="A130" s="2" t="inlineStr">
        <is>
          <t>ORD-1129</t>
        </is>
      </c>
      <c r="B130" s="3" t="inlineStr">
        <is>
          <t>12-03-2024</t>
        </is>
      </c>
      <c r="C130" s="3" t="inlineStr">
        <is>
          <t>Mar-2024</t>
        </is>
      </c>
      <c r="D130" s="2" t="inlineStr">
        <is>
          <t>North</t>
        </is>
      </c>
      <c r="E130" s="2" t="inlineStr">
        <is>
          <t>Chandigarh</t>
        </is>
      </c>
      <c r="F130" s="3" t="inlineStr">
        <is>
          <t>Vikram Singh</t>
        </is>
      </c>
      <c r="G130" s="3" t="inlineStr">
        <is>
          <t>Electronics</t>
        </is>
      </c>
      <c r="H130" s="2" t="inlineStr">
        <is>
          <t>Laptop</t>
        </is>
      </c>
      <c r="I130" s="2" t="n">
        <v>20</v>
      </c>
      <c r="J130" s="3" t="n">
        <v>1222.58</v>
      </c>
      <c r="K130" s="3" t="n">
        <v>24451.6</v>
      </c>
      <c r="L130" s="3" t="n">
        <v>14670.96</v>
      </c>
      <c r="M130" s="2" t="n">
        <v>9780.639999999999</v>
      </c>
      <c r="N130" s="2" t="inlineStr">
        <is>
          <t>Existing</t>
        </is>
      </c>
      <c r="O130" s="2" t="inlineStr">
        <is>
          <t>Offline</t>
        </is>
      </c>
      <c r="P130" s="3" t="n">
        <v>26656.27</v>
      </c>
      <c r="Q130" s="3" t="n">
        <v>91.73</v>
      </c>
      <c r="R130" s="3" t="inlineStr"/>
    </row>
    <row r="131">
      <c r="A131" s="4" t="inlineStr">
        <is>
          <t>ORD-1130</t>
        </is>
      </c>
      <c r="B131" s="5" t="inlineStr">
        <is>
          <t>13-03-2024</t>
        </is>
      </c>
      <c r="C131" s="5" t="inlineStr">
        <is>
          <t>Mar-2024</t>
        </is>
      </c>
      <c r="D131" s="4" t="inlineStr">
        <is>
          <t>North</t>
        </is>
      </c>
      <c r="E131" s="4" t="inlineStr">
        <is>
          <t>Chandigarh</t>
        </is>
      </c>
      <c r="F131" s="5" t="inlineStr">
        <is>
          <t>Kavita Rao</t>
        </is>
      </c>
      <c r="G131" s="5" t="inlineStr">
        <is>
          <t>Furniture</t>
        </is>
      </c>
      <c r="H131" s="4" t="inlineStr">
        <is>
          <t>Bookshelf</t>
        </is>
      </c>
      <c r="I131" s="4" t="n">
        <v>20</v>
      </c>
      <c r="J131" s="5" t="n">
        <v>199.03</v>
      </c>
      <c r="K131" s="5" t="n">
        <v>3980.6</v>
      </c>
      <c r="L131" s="5" t="n">
        <v>2189.33</v>
      </c>
      <c r="M131" s="4" t="n">
        <v>1791.27</v>
      </c>
      <c r="N131" s="4" t="inlineStr">
        <is>
          <t>New</t>
        </is>
      </c>
      <c r="O131" s="4" t="inlineStr">
        <is>
          <t>Online</t>
        </is>
      </c>
      <c r="P131" s="5" t="n">
        <v>4081.16</v>
      </c>
      <c r="Q131" s="5" t="n">
        <v>97.54000000000001</v>
      </c>
      <c r="R131" s="5" t="inlineStr"/>
    </row>
    <row r="132">
      <c r="A132" s="2" t="inlineStr">
        <is>
          <t>ORD-1131</t>
        </is>
      </c>
      <c r="B132" s="3" t="inlineStr">
        <is>
          <t>13-03-2024</t>
        </is>
      </c>
      <c r="C132" s="3" t="inlineStr">
        <is>
          <t>Mar-2024</t>
        </is>
      </c>
      <c r="D132" s="2" t="inlineStr">
        <is>
          <t>East</t>
        </is>
      </c>
      <c r="E132" s="2" t="inlineStr">
        <is>
          <t>Patna</t>
        </is>
      </c>
      <c r="F132" s="3" t="inlineStr">
        <is>
          <t>Priya Patel</t>
        </is>
      </c>
      <c r="G132" s="3" t="inlineStr">
        <is>
          <t>Furniture</t>
        </is>
      </c>
      <c r="H132" s="2" t="inlineStr">
        <is>
          <t>Office Chair</t>
        </is>
      </c>
      <c r="I132" s="2" t="n">
        <v>8</v>
      </c>
      <c r="J132" s="3" t="n">
        <v>364.53</v>
      </c>
      <c r="K132" s="3" t="n">
        <v>2916.24</v>
      </c>
      <c r="L132" s="3" t="n">
        <v>1603.93</v>
      </c>
      <c r="M132" s="2" t="n">
        <v>1312.31</v>
      </c>
      <c r="N132" s="2" t="inlineStr">
        <is>
          <t>Existing</t>
        </is>
      </c>
      <c r="O132" s="2" t="inlineStr">
        <is>
          <t>Online</t>
        </is>
      </c>
      <c r="P132" s="3" t="n">
        <v>2863.6</v>
      </c>
      <c r="Q132" s="3" t="n">
        <v>101.84</v>
      </c>
      <c r="R132" s="3" t="inlineStr"/>
    </row>
    <row r="133">
      <c r="A133" s="4" t="inlineStr">
        <is>
          <t>ORD-1132</t>
        </is>
      </c>
      <c r="B133" s="5" t="inlineStr">
        <is>
          <t>13-03-2024</t>
        </is>
      </c>
      <c r="C133" s="5" t="inlineStr">
        <is>
          <t>Mar-2024</t>
        </is>
      </c>
      <c r="D133" s="4" t="inlineStr">
        <is>
          <t>East</t>
        </is>
      </c>
      <c r="E133" s="4" t="inlineStr">
        <is>
          <t>Bhubaneswar</t>
        </is>
      </c>
      <c r="F133" s="5" t="inlineStr">
        <is>
          <t>Amit Kumar</t>
        </is>
      </c>
      <c r="G133" s="5" t="inlineStr">
        <is>
          <t>Apparel</t>
        </is>
      </c>
      <c r="H133" s="4" t="inlineStr">
        <is>
          <t>Jacket</t>
        </is>
      </c>
      <c r="I133" s="4" t="n">
        <v>11</v>
      </c>
      <c r="J133" s="5" t="n">
        <v>109.58</v>
      </c>
      <c r="K133" s="5" t="n">
        <v>1205.38</v>
      </c>
      <c r="L133" s="5" t="n">
        <v>542.42</v>
      </c>
      <c r="M133" s="4" t="n">
        <v>662.96</v>
      </c>
      <c r="N133" s="4" t="inlineStr">
        <is>
          <t>New</t>
        </is>
      </c>
      <c r="O133" s="4" t="inlineStr">
        <is>
          <t>Offline</t>
        </is>
      </c>
      <c r="P133" s="5" t="n">
        <v>1135.56</v>
      </c>
      <c r="Q133" s="5" t="n">
        <v>106.15</v>
      </c>
      <c r="R133" s="5" t="inlineStr"/>
    </row>
    <row r="134">
      <c r="A134" s="2" t="inlineStr">
        <is>
          <t>ORD-1133</t>
        </is>
      </c>
      <c r="B134" s="3" t="inlineStr">
        <is>
          <t>14-03-2024</t>
        </is>
      </c>
      <c r="C134" s="3" t="inlineStr">
        <is>
          <t>Mar-2024</t>
        </is>
      </c>
      <c r="D134" s="2" t="inlineStr">
        <is>
          <t>South</t>
        </is>
      </c>
      <c r="E134" s="2" t="inlineStr">
        <is>
          <t>Bangalore</t>
        </is>
      </c>
      <c r="F134" s="3" t="inlineStr">
        <is>
          <t>Priya Patel</t>
        </is>
      </c>
      <c r="G134" s="3" t="inlineStr">
        <is>
          <t>Furniture</t>
        </is>
      </c>
      <c r="H134" s="2" t="inlineStr">
        <is>
          <t>Bookshelf</t>
        </is>
      </c>
      <c r="I134" s="2" t="n">
        <v>10</v>
      </c>
      <c r="J134" s="3" t="n">
        <v>218.71</v>
      </c>
      <c r="K134" s="3" t="n">
        <v>2187.1</v>
      </c>
      <c r="L134" s="3" t="n">
        <v>1202.9</v>
      </c>
      <c r="M134" s="2" t="n">
        <v>984.2</v>
      </c>
      <c r="N134" s="2" t="inlineStr">
        <is>
          <t>Existing</t>
        </is>
      </c>
      <c r="O134" s="2" t="inlineStr">
        <is>
          <t>Online</t>
        </is>
      </c>
      <c r="P134" s="3" t="n">
        <v>2400.39</v>
      </c>
      <c r="Q134" s="3" t="n">
        <v>91.11</v>
      </c>
      <c r="R134" s="3" t="inlineStr"/>
    </row>
    <row r="135">
      <c r="A135" s="4" t="inlineStr">
        <is>
          <t>ORD-1134</t>
        </is>
      </c>
      <c r="B135" s="5" t="inlineStr">
        <is>
          <t>14-03-2024</t>
        </is>
      </c>
      <c r="C135" s="5" t="inlineStr">
        <is>
          <t>Mar-2024</t>
        </is>
      </c>
      <c r="D135" s="4" t="inlineStr">
        <is>
          <t>North</t>
        </is>
      </c>
      <c r="E135" s="4" t="inlineStr">
        <is>
          <t>Chandigarh</t>
        </is>
      </c>
      <c r="F135" s="5" t="inlineStr">
        <is>
          <t>Ravi Verma</t>
        </is>
      </c>
      <c r="G135" s="5" t="inlineStr">
        <is>
          <t>Software</t>
        </is>
      </c>
      <c r="H135" s="4" t="inlineStr">
        <is>
          <t>Analytics Pro</t>
        </is>
      </c>
      <c r="I135" s="4" t="n">
        <v>5</v>
      </c>
      <c r="J135" s="5" t="n">
        <v>2585.06</v>
      </c>
      <c r="K135" s="5" t="n">
        <v>12925.3</v>
      </c>
      <c r="L135" s="5" t="n">
        <v>3877.59</v>
      </c>
      <c r="M135" s="4" t="n">
        <v>9047.709999999999</v>
      </c>
      <c r="N135" s="4" t="inlineStr">
        <is>
          <t>New</t>
        </is>
      </c>
      <c r="O135" s="4" t="inlineStr">
        <is>
          <t>Offline</t>
        </is>
      </c>
      <c r="P135" s="5" t="n">
        <v>13626.42</v>
      </c>
      <c r="Q135" s="5" t="n">
        <v>94.84999999999999</v>
      </c>
      <c r="R135" s="5" t="inlineStr"/>
    </row>
    <row r="136">
      <c r="A136" s="2" t="inlineStr">
        <is>
          <t>ORD-1135</t>
        </is>
      </c>
      <c r="B136" s="3" t="inlineStr">
        <is>
          <t>14-03-2024</t>
        </is>
      </c>
      <c r="C136" s="3" t="inlineStr">
        <is>
          <t>Mar-2024</t>
        </is>
      </c>
      <c r="D136" s="2" t="inlineStr">
        <is>
          <t>North</t>
        </is>
      </c>
      <c r="E136" s="2" t="inlineStr">
        <is>
          <t>Chandigarh</t>
        </is>
      </c>
      <c r="F136" s="3" t="inlineStr">
        <is>
          <t>Vikram Singh</t>
        </is>
      </c>
      <c r="G136" s="3" t="inlineStr">
        <is>
          <t>Furniture</t>
        </is>
      </c>
      <c r="H136" s="2" t="inlineStr">
        <is>
          <t>Desk</t>
        </is>
      </c>
      <c r="I136" s="2" t="n">
        <v>11</v>
      </c>
      <c r="J136" s="3" t="n">
        <v>490.29</v>
      </c>
      <c r="K136" s="3" t="n">
        <v>5393.19</v>
      </c>
      <c r="L136" s="3" t="n">
        <v>2966.25</v>
      </c>
      <c r="M136" s="2" t="n">
        <v>2426.94</v>
      </c>
      <c r="N136" s="2" t="inlineStr">
        <is>
          <t>Existing</t>
        </is>
      </c>
      <c r="O136" s="2" t="inlineStr">
        <is>
          <t>Online</t>
        </is>
      </c>
      <c r="P136" s="3" t="n">
        <v>4925.45</v>
      </c>
      <c r="Q136" s="3" t="n">
        <v>109.5</v>
      </c>
      <c r="R136" s="3" t="inlineStr"/>
    </row>
    <row r="137">
      <c r="A137" s="4" t="inlineStr">
        <is>
          <t>ORD-1136</t>
        </is>
      </c>
      <c r="B137" s="5" t="inlineStr">
        <is>
          <t>15-03-2024</t>
        </is>
      </c>
      <c r="C137" s="5" t="inlineStr">
        <is>
          <t>Mar-2024</t>
        </is>
      </c>
      <c r="D137" s="4" t="inlineStr">
        <is>
          <t>South</t>
        </is>
      </c>
      <c r="E137" s="4" t="inlineStr">
        <is>
          <t>Chennai</t>
        </is>
      </c>
      <c r="F137" s="5" t="inlineStr">
        <is>
          <t>Vikram Singh</t>
        </is>
      </c>
      <c r="G137" s="5" t="inlineStr">
        <is>
          <t>Electronics</t>
        </is>
      </c>
      <c r="H137" s="4" t="inlineStr">
        <is>
          <t>Laptop</t>
        </is>
      </c>
      <c r="I137" s="4" t="n">
        <v>11</v>
      </c>
      <c r="J137" s="5" t="n">
        <v>1290.33</v>
      </c>
      <c r="K137" s="5" t="n">
        <v>14193.63</v>
      </c>
      <c r="L137" s="5" t="n">
        <v>8516.18</v>
      </c>
      <c r="M137" s="4" t="n">
        <v>5677.45</v>
      </c>
      <c r="N137" s="4" t="inlineStr">
        <is>
          <t>New</t>
        </is>
      </c>
      <c r="O137" s="4" t="inlineStr">
        <is>
          <t>Offline</t>
        </is>
      </c>
      <c r="P137" s="5" t="n">
        <v>12449.61</v>
      </c>
      <c r="Q137" s="5" t="n">
        <v>114.01</v>
      </c>
      <c r="R137" s="5" t="inlineStr"/>
    </row>
    <row r="138">
      <c r="A138" s="2" t="inlineStr">
        <is>
          <t>ORD-1137</t>
        </is>
      </c>
      <c r="B138" s="3" t="inlineStr">
        <is>
          <t>16-03-2024</t>
        </is>
      </c>
      <c r="C138" s="3" t="inlineStr">
        <is>
          <t>Mar-2024</t>
        </is>
      </c>
      <c r="D138" s="2" t="inlineStr">
        <is>
          <t>South</t>
        </is>
      </c>
      <c r="E138" s="2" t="inlineStr">
        <is>
          <t>Hyderabad</t>
        </is>
      </c>
      <c r="F138" s="3" t="inlineStr">
        <is>
          <t>Pooja Joshi</t>
        </is>
      </c>
      <c r="G138" s="3" t="inlineStr">
        <is>
          <t>Electronics</t>
        </is>
      </c>
      <c r="H138" s="2" t="inlineStr">
        <is>
          <t>Smartwatch</t>
        </is>
      </c>
      <c r="I138" s="2" t="n">
        <v>12</v>
      </c>
      <c r="J138" s="3" t="n">
        <v>310.58</v>
      </c>
      <c r="K138" s="3" t="n">
        <v>3726.96</v>
      </c>
      <c r="L138" s="3" t="n">
        <v>2236.18</v>
      </c>
      <c r="M138" s="2" t="n">
        <v>1490.78</v>
      </c>
      <c r="N138" s="2" t="inlineStr">
        <is>
          <t>New</t>
        </is>
      </c>
      <c r="O138" s="2" t="inlineStr">
        <is>
          <t>Offline</t>
        </is>
      </c>
      <c r="P138" s="3" t="n">
        <v>4119.4</v>
      </c>
      <c r="Q138" s="3" t="n">
        <v>90.47</v>
      </c>
      <c r="R138" s="3" t="inlineStr"/>
    </row>
    <row r="139">
      <c r="A139" s="4" t="inlineStr">
        <is>
          <t>ORD-1138</t>
        </is>
      </c>
      <c r="B139" s="5" t="inlineStr">
        <is>
          <t>17-03-2024</t>
        </is>
      </c>
      <c r="C139" s="5" t="inlineStr">
        <is>
          <t>Mar-2024</t>
        </is>
      </c>
      <c r="D139" s="4" t="inlineStr">
        <is>
          <t>South</t>
        </is>
      </c>
      <c r="E139" s="4" t="inlineStr">
        <is>
          <t>Hyderabad</t>
        </is>
      </c>
      <c r="F139" s="5" t="inlineStr">
        <is>
          <t>Sneha Reddy</t>
        </is>
      </c>
      <c r="G139" s="5" t="inlineStr">
        <is>
          <t>Apparel</t>
        </is>
      </c>
      <c r="H139" s="4" t="inlineStr">
        <is>
          <t>Trousers</t>
        </is>
      </c>
      <c r="I139" s="4" t="n">
        <v>7</v>
      </c>
      <c r="J139" s="5" t="n">
        <v>68.15000000000001</v>
      </c>
      <c r="K139" s="5" t="n">
        <v>477.05</v>
      </c>
      <c r="L139" s="5" t="n">
        <v>214.67</v>
      </c>
      <c r="M139" s="4" t="n">
        <v>262.38</v>
      </c>
      <c r="N139" s="4" t="inlineStr">
        <is>
          <t>Existing</t>
        </is>
      </c>
      <c r="O139" s="4" t="inlineStr">
        <is>
          <t>Offline</t>
        </is>
      </c>
      <c r="P139" s="5" t="n">
        <v>565.17</v>
      </c>
      <c r="Q139" s="5" t="n">
        <v>84.41</v>
      </c>
      <c r="R139" s="5" t="inlineStr"/>
    </row>
    <row r="140">
      <c r="A140" s="2" t="inlineStr">
        <is>
          <t>ORD-1139</t>
        </is>
      </c>
      <c r="B140" s="3" t="inlineStr">
        <is>
          <t>18-03-2024</t>
        </is>
      </c>
      <c r="C140" s="3" t="inlineStr">
        <is>
          <t>Mar-2024</t>
        </is>
      </c>
      <c r="D140" s="2" t="inlineStr">
        <is>
          <t>West</t>
        </is>
      </c>
      <c r="E140" s="2" t="inlineStr">
        <is>
          <t>Mumbai</t>
        </is>
      </c>
      <c r="F140" s="3" t="inlineStr">
        <is>
          <t>Sneha Reddy</t>
        </is>
      </c>
      <c r="G140" s="3" t="inlineStr">
        <is>
          <t>Furniture</t>
        </is>
      </c>
      <c r="H140" s="2" t="inlineStr">
        <is>
          <t>Bookshelf</t>
        </is>
      </c>
      <c r="I140" s="2" t="n">
        <v>2</v>
      </c>
      <c r="J140" s="3" t="n">
        <v>205.65</v>
      </c>
      <c r="K140" s="3" t="n">
        <v>411.3</v>
      </c>
      <c r="L140" s="3" t="n">
        <v>226.22</v>
      </c>
      <c r="M140" s="2" t="n">
        <v>185.08</v>
      </c>
      <c r="N140" s="2" t="inlineStr">
        <is>
          <t>Existing</t>
        </is>
      </c>
      <c r="O140" s="2" t="inlineStr">
        <is>
          <t>Online</t>
        </is>
      </c>
      <c r="P140" s="3" t="n">
        <v>475.34</v>
      </c>
      <c r="Q140" s="3" t="n">
        <v>86.53</v>
      </c>
      <c r="R140" s="3" t="inlineStr"/>
    </row>
    <row r="141">
      <c r="A141" s="4" t="inlineStr">
        <is>
          <t>ORD-1140</t>
        </is>
      </c>
      <c r="B141" s="5" t="inlineStr">
        <is>
          <t>18-03-2024</t>
        </is>
      </c>
      <c r="C141" s="5" t="inlineStr">
        <is>
          <t>Mar-2024</t>
        </is>
      </c>
      <c r="D141" s="4" t="inlineStr">
        <is>
          <t>North</t>
        </is>
      </c>
      <c r="E141" s="4" t="inlineStr">
        <is>
          <t>Chandigarh</t>
        </is>
      </c>
      <c r="F141" s="5" t="inlineStr">
        <is>
          <t>Priya Patel</t>
        </is>
      </c>
      <c r="G141" s="5" t="inlineStr">
        <is>
          <t>Furniture</t>
        </is>
      </c>
      <c r="H141" s="4" t="inlineStr">
        <is>
          <t>Bookshelf</t>
        </is>
      </c>
      <c r="I141" s="4" t="n">
        <v>15</v>
      </c>
      <c r="J141" s="5" t="n">
        <v>216.21</v>
      </c>
      <c r="K141" s="5" t="n">
        <v>3243.15</v>
      </c>
      <c r="L141" s="5" t="n">
        <v>1783.73</v>
      </c>
      <c r="M141" s="4" t="n">
        <v>1459.42</v>
      </c>
      <c r="N141" s="4" t="inlineStr">
        <is>
          <t>New</t>
        </is>
      </c>
      <c r="O141" s="4" t="inlineStr">
        <is>
          <t>Offline</t>
        </is>
      </c>
      <c r="P141" s="5" t="n">
        <v>2743.24</v>
      </c>
      <c r="Q141" s="5" t="n">
        <v>118.22</v>
      </c>
      <c r="R141" s="5" t="inlineStr"/>
    </row>
    <row r="142">
      <c r="A142" s="2" t="inlineStr">
        <is>
          <t>ORD-1141</t>
        </is>
      </c>
      <c r="B142" s="3" t="inlineStr">
        <is>
          <t>19-03-2024</t>
        </is>
      </c>
      <c r="C142" s="3" t="inlineStr">
        <is>
          <t>Mar-2024</t>
        </is>
      </c>
      <c r="D142" s="2" t="inlineStr">
        <is>
          <t>West</t>
        </is>
      </c>
      <c r="E142" s="2" t="inlineStr">
        <is>
          <t>Ahmedabad</t>
        </is>
      </c>
      <c r="F142" s="3" t="inlineStr">
        <is>
          <t>Rahul Sharma</t>
        </is>
      </c>
      <c r="G142" s="3" t="inlineStr">
        <is>
          <t>Software</t>
        </is>
      </c>
      <c r="H142" s="2" t="inlineStr">
        <is>
          <t>ERP Suite</t>
        </is>
      </c>
      <c r="I142" s="2" t="n">
        <v>13</v>
      </c>
      <c r="J142" s="3" t="n">
        <v>5002.01</v>
      </c>
      <c r="K142" s="3" t="n">
        <v>65026.13</v>
      </c>
      <c r="L142" s="3" t="n">
        <v>19507.84</v>
      </c>
      <c r="M142" s="2" t="n">
        <v>45518.29</v>
      </c>
      <c r="N142" s="2" t="inlineStr">
        <is>
          <t>New</t>
        </is>
      </c>
      <c r="O142" s="2" t="inlineStr">
        <is>
          <t>Offline</t>
        </is>
      </c>
      <c r="P142" s="3" t="n">
        <v>84355.97</v>
      </c>
      <c r="Q142" s="3" t="n">
        <v>77.09</v>
      </c>
      <c r="R142" s="3" t="inlineStr"/>
    </row>
    <row r="143">
      <c r="A143" s="4" t="inlineStr">
        <is>
          <t>ORD-1142</t>
        </is>
      </c>
      <c r="B143" s="5" t="inlineStr">
        <is>
          <t>20-03-2024</t>
        </is>
      </c>
      <c r="C143" s="5" t="inlineStr">
        <is>
          <t>Mar-2024</t>
        </is>
      </c>
      <c r="D143" s="4" t="inlineStr">
        <is>
          <t>South</t>
        </is>
      </c>
      <c r="E143" s="4" t="inlineStr">
        <is>
          <t>Chennai</t>
        </is>
      </c>
      <c r="F143" s="5" t="inlineStr">
        <is>
          <t>Deepa Nair</t>
        </is>
      </c>
      <c r="G143" s="5" t="inlineStr">
        <is>
          <t>Electronics</t>
        </is>
      </c>
      <c r="H143" s="4" t="inlineStr">
        <is>
          <t>Tablet</t>
        </is>
      </c>
      <c r="I143" s="4" t="n">
        <v>5</v>
      </c>
      <c r="J143" s="5" t="n">
        <v>556.51</v>
      </c>
      <c r="K143" s="5" t="n">
        <v>2782.55</v>
      </c>
      <c r="L143" s="5" t="n">
        <v>1669.53</v>
      </c>
      <c r="M143" s="4" t="n">
        <v>1113.02</v>
      </c>
      <c r="N143" s="4" t="inlineStr">
        <is>
          <t>Existing</t>
        </is>
      </c>
      <c r="O143" s="4" t="inlineStr">
        <is>
          <t>Offline</t>
        </is>
      </c>
      <c r="P143" s="5" t="n">
        <v>3194.47</v>
      </c>
      <c r="Q143" s="5" t="n">
        <v>87.11</v>
      </c>
      <c r="R143" s="5" t="inlineStr"/>
    </row>
    <row r="144">
      <c r="A144" s="2" t="inlineStr">
        <is>
          <t>ORD-1143</t>
        </is>
      </c>
      <c r="B144" s="3" t="inlineStr">
        <is>
          <t>20-03-2024</t>
        </is>
      </c>
      <c r="C144" s="3" t="inlineStr">
        <is>
          <t>Mar-2024</t>
        </is>
      </c>
      <c r="D144" s="2" t="inlineStr">
        <is>
          <t>South</t>
        </is>
      </c>
      <c r="E144" s="2" t="inlineStr">
        <is>
          <t>Hyderabad</t>
        </is>
      </c>
      <c r="F144" s="3" t="inlineStr">
        <is>
          <t>Pooja Joshi</t>
        </is>
      </c>
      <c r="G144" s="3" t="inlineStr">
        <is>
          <t>Software</t>
        </is>
      </c>
      <c r="H144" s="2" t="inlineStr">
        <is>
          <t>ERP Suite</t>
        </is>
      </c>
      <c r="I144" s="2" t="n">
        <v>3</v>
      </c>
      <c r="J144" s="3" t="n">
        <v>4519</v>
      </c>
      <c r="K144" s="3" t="n">
        <v>13557</v>
      </c>
      <c r="L144" s="3" t="n">
        <v>4067.1</v>
      </c>
      <c r="M144" s="2" t="n">
        <v>9489.9</v>
      </c>
      <c r="N144" s="2" t="inlineStr">
        <is>
          <t>New</t>
        </is>
      </c>
      <c r="O144" s="2" t="inlineStr">
        <is>
          <t>Online</t>
        </is>
      </c>
      <c r="P144" s="3" t="n">
        <v>14565.67</v>
      </c>
      <c r="Q144" s="3" t="n">
        <v>93.08</v>
      </c>
      <c r="R144" s="3" t="inlineStr"/>
    </row>
    <row r="145">
      <c r="A145" s="4" t="inlineStr">
        <is>
          <t>ORD-1144</t>
        </is>
      </c>
      <c r="B145" s="5" t="inlineStr">
        <is>
          <t>21-03-2024</t>
        </is>
      </c>
      <c r="C145" s="5" t="inlineStr">
        <is>
          <t>Mar-2024</t>
        </is>
      </c>
      <c r="D145" s="4" t="inlineStr">
        <is>
          <t>West</t>
        </is>
      </c>
      <c r="E145" s="4" t="inlineStr">
        <is>
          <t>Mumbai</t>
        </is>
      </c>
      <c r="F145" s="5" t="inlineStr">
        <is>
          <t>Vikram Singh</t>
        </is>
      </c>
      <c r="G145" s="5" t="inlineStr">
        <is>
          <t>Furniture</t>
        </is>
      </c>
      <c r="H145" s="4" t="inlineStr">
        <is>
          <t>Bookshelf</t>
        </is>
      </c>
      <c r="I145" s="4" t="n">
        <v>4</v>
      </c>
      <c r="J145" s="5" t="n">
        <v>181.91</v>
      </c>
      <c r="K145" s="5" t="n">
        <v>727.64</v>
      </c>
      <c r="L145" s="5" t="n">
        <v>400.2</v>
      </c>
      <c r="M145" s="4" t="n">
        <v>327.44</v>
      </c>
      <c r="N145" s="4" t="inlineStr">
        <is>
          <t>Existing</t>
        </is>
      </c>
      <c r="O145" s="4" t="inlineStr">
        <is>
          <t>Offline</t>
        </is>
      </c>
      <c r="P145" s="5" t="n">
        <v>604.96</v>
      </c>
      <c r="Q145" s="5" t="n">
        <v>120.28</v>
      </c>
      <c r="R145" s="5" t="inlineStr"/>
    </row>
    <row r="146">
      <c r="A146" s="2" t="inlineStr">
        <is>
          <t>ORD-1145</t>
        </is>
      </c>
      <c r="B146" s="3" t="inlineStr">
        <is>
          <t>21-03-2024</t>
        </is>
      </c>
      <c r="C146" s="3" t="inlineStr">
        <is>
          <t>Mar-2024</t>
        </is>
      </c>
      <c r="D146" s="2" t="inlineStr">
        <is>
          <t>West</t>
        </is>
      </c>
      <c r="E146" s="2" t="inlineStr">
        <is>
          <t>Pune</t>
        </is>
      </c>
      <c r="F146" s="3" t="inlineStr">
        <is>
          <t>Ravi Verma</t>
        </is>
      </c>
      <c r="G146" s="3" t="inlineStr">
        <is>
          <t>Electronics</t>
        </is>
      </c>
      <c r="H146" s="2" t="inlineStr">
        <is>
          <t>Smartphone</t>
        </is>
      </c>
      <c r="I146" s="2" t="n">
        <v>5</v>
      </c>
      <c r="J146" s="3" t="n">
        <v>766.6</v>
      </c>
      <c r="K146" s="3" t="n">
        <v>3833</v>
      </c>
      <c r="L146" s="3" t="n">
        <v>2299.8</v>
      </c>
      <c r="M146" s="2" t="n">
        <v>1533.2</v>
      </c>
      <c r="N146" s="2" t="inlineStr">
        <is>
          <t>New</t>
        </is>
      </c>
      <c r="O146" s="2" t="inlineStr">
        <is>
          <t>Offline</t>
        </is>
      </c>
      <c r="P146" s="3" t="n">
        <v>3527.44</v>
      </c>
      <c r="Q146" s="3" t="n">
        <v>108.66</v>
      </c>
      <c r="R146" s="3" t="inlineStr"/>
    </row>
    <row r="147">
      <c r="A147" s="4" t="inlineStr">
        <is>
          <t>ORD-1146</t>
        </is>
      </c>
      <c r="B147" s="5" t="inlineStr">
        <is>
          <t>21-03-2024</t>
        </is>
      </c>
      <c r="C147" s="5" t="inlineStr">
        <is>
          <t>Mar-2024</t>
        </is>
      </c>
      <c r="D147" s="4" t="inlineStr">
        <is>
          <t>West</t>
        </is>
      </c>
      <c r="E147" s="4" t="inlineStr">
        <is>
          <t>Mumbai</t>
        </is>
      </c>
      <c r="F147" s="5" t="inlineStr">
        <is>
          <t>Priya Patel</t>
        </is>
      </c>
      <c r="G147" s="5" t="inlineStr">
        <is>
          <t>Apparel</t>
        </is>
      </c>
      <c r="H147" s="4" t="inlineStr">
        <is>
          <t>Jacket</t>
        </is>
      </c>
      <c r="I147" s="4" t="n">
        <v>17</v>
      </c>
      <c r="J147" s="5" t="n">
        <v>121.06</v>
      </c>
      <c r="K147" s="5" t="n">
        <v>2058.02</v>
      </c>
      <c r="L147" s="5" t="n">
        <v>926.11</v>
      </c>
      <c r="M147" s="4" t="n">
        <v>1131.91</v>
      </c>
      <c r="N147" s="4" t="inlineStr">
        <is>
          <t>New</t>
        </is>
      </c>
      <c r="O147" s="4" t="inlineStr">
        <is>
          <t>Offline</t>
        </is>
      </c>
      <c r="P147" s="5" t="n">
        <v>2545.08</v>
      </c>
      <c r="Q147" s="5" t="n">
        <v>80.86</v>
      </c>
      <c r="R147" s="5" t="inlineStr"/>
    </row>
    <row r="148">
      <c r="A148" s="2" t="inlineStr">
        <is>
          <t>ORD-1147</t>
        </is>
      </c>
      <c r="B148" s="3" t="inlineStr">
        <is>
          <t>22-03-2024</t>
        </is>
      </c>
      <c r="C148" s="3" t="inlineStr">
        <is>
          <t>Mar-2024</t>
        </is>
      </c>
      <c r="D148" s="2" t="inlineStr">
        <is>
          <t>West</t>
        </is>
      </c>
      <c r="E148" s="2" t="inlineStr">
        <is>
          <t>Ahmedabad</t>
        </is>
      </c>
      <c r="F148" s="3" t="inlineStr">
        <is>
          <t>Vikram Singh</t>
        </is>
      </c>
      <c r="G148" s="3" t="inlineStr">
        <is>
          <t>Electronics</t>
        </is>
      </c>
      <c r="H148" s="2" t="inlineStr">
        <is>
          <t>Tablet</t>
        </is>
      </c>
      <c r="I148" s="2" t="n">
        <v>3</v>
      </c>
      <c r="J148" s="3" t="n">
        <v>581.38</v>
      </c>
      <c r="K148" s="3" t="n">
        <v>1744.14</v>
      </c>
      <c r="L148" s="3" t="n">
        <v>1046.48</v>
      </c>
      <c r="M148" s="2" t="n">
        <v>697.66</v>
      </c>
      <c r="N148" s="2" t="inlineStr">
        <is>
          <t>New</t>
        </is>
      </c>
      <c r="O148" s="2" t="inlineStr">
        <is>
          <t>Offline</t>
        </is>
      </c>
      <c r="P148" s="3" t="n">
        <v>1511.65</v>
      </c>
      <c r="Q148" s="3" t="n">
        <v>115.38</v>
      </c>
      <c r="R148" s="3" t="inlineStr"/>
    </row>
    <row r="149">
      <c r="A149" s="4" t="inlineStr">
        <is>
          <t>ORD-1148</t>
        </is>
      </c>
      <c r="B149" s="5" t="inlineStr">
        <is>
          <t>23-03-2024</t>
        </is>
      </c>
      <c r="C149" s="5" t="inlineStr">
        <is>
          <t>Mar-2024</t>
        </is>
      </c>
      <c r="D149" s="4" t="inlineStr">
        <is>
          <t>East</t>
        </is>
      </c>
      <c r="E149" s="4" t="inlineStr">
        <is>
          <t>Patna</t>
        </is>
      </c>
      <c r="F149" s="5" t="inlineStr">
        <is>
          <t>Arjun Mehta</t>
        </is>
      </c>
      <c r="G149" s="5" t="inlineStr">
        <is>
          <t>Software</t>
        </is>
      </c>
      <c r="H149" s="4" t="inlineStr">
        <is>
          <t>HR System</t>
        </is>
      </c>
      <c r="I149" s="4" t="n">
        <v>6</v>
      </c>
      <c r="J149" s="5" t="n">
        <v>2124.6</v>
      </c>
      <c r="K149" s="5" t="n">
        <v>12747.6</v>
      </c>
      <c r="L149" s="5" t="n">
        <v>3824.28</v>
      </c>
      <c r="M149" s="4" t="n">
        <v>8923.32</v>
      </c>
      <c r="N149" s="4" t="inlineStr">
        <is>
          <t>New</t>
        </is>
      </c>
      <c r="O149" s="4" t="inlineStr">
        <is>
          <t>Offline</t>
        </is>
      </c>
      <c r="P149" s="5" t="n">
        <v>10433.81</v>
      </c>
      <c r="Q149" s="5" t="n">
        <v>122.18</v>
      </c>
      <c r="R149" s="5" t="inlineStr"/>
    </row>
    <row r="150">
      <c r="A150" s="2" t="inlineStr">
        <is>
          <t>ORD-1149</t>
        </is>
      </c>
      <c r="B150" s="3" t="inlineStr">
        <is>
          <t>23-03-2024</t>
        </is>
      </c>
      <c r="C150" s="3" t="inlineStr">
        <is>
          <t>Mar-2024</t>
        </is>
      </c>
      <c r="D150" s="2" t="inlineStr">
        <is>
          <t>South</t>
        </is>
      </c>
      <c r="E150" s="2" t="inlineStr">
        <is>
          <t>Chennai</t>
        </is>
      </c>
      <c r="F150" s="3" t="inlineStr">
        <is>
          <t>Sneha Reddy</t>
        </is>
      </c>
      <c r="G150" s="3" t="inlineStr">
        <is>
          <t>Electronics</t>
        </is>
      </c>
      <c r="H150" s="2" t="inlineStr">
        <is>
          <t>Tablet</t>
        </is>
      </c>
      <c r="I150" s="2" t="n">
        <v>10</v>
      </c>
      <c r="J150" s="3" t="n">
        <v>601.85</v>
      </c>
      <c r="K150" s="3" t="n">
        <v>6018.5</v>
      </c>
      <c r="L150" s="3" t="n">
        <v>3611.1</v>
      </c>
      <c r="M150" s="2" t="n">
        <v>2407.4</v>
      </c>
      <c r="N150" s="2" t="inlineStr">
        <is>
          <t>Existing</t>
        </is>
      </c>
      <c r="O150" s="2" t="inlineStr">
        <is>
          <t>Offline</t>
        </is>
      </c>
      <c r="P150" s="3" t="n">
        <v>4925</v>
      </c>
      <c r="Q150" s="3" t="n">
        <v>122.2</v>
      </c>
      <c r="R150" s="3" t="inlineStr"/>
    </row>
    <row r="151">
      <c r="A151" s="4" t="inlineStr">
        <is>
          <t>ORD-1150</t>
        </is>
      </c>
      <c r="B151" s="5" t="inlineStr">
        <is>
          <t>25-03-2024</t>
        </is>
      </c>
      <c r="C151" s="5" t="inlineStr">
        <is>
          <t>Mar-2024</t>
        </is>
      </c>
      <c r="D151" s="4" t="inlineStr">
        <is>
          <t>East</t>
        </is>
      </c>
      <c r="E151" s="4" t="inlineStr">
        <is>
          <t>Kolkata</t>
        </is>
      </c>
      <c r="F151" s="5" t="inlineStr">
        <is>
          <t>Deepa Nair</t>
        </is>
      </c>
      <c r="G151" s="5" t="inlineStr">
        <is>
          <t>Apparel</t>
        </is>
      </c>
      <c r="H151" s="4" t="inlineStr">
        <is>
          <t>Jacket</t>
        </is>
      </c>
      <c r="I151" s="4" t="n">
        <v>12</v>
      </c>
      <c r="J151" s="5" t="n">
        <v>118.49</v>
      </c>
      <c r="K151" s="5" t="n">
        <v>1421.88</v>
      </c>
      <c r="L151" s="5" t="n">
        <v>639.85</v>
      </c>
      <c r="M151" s="4" t="n">
        <v>782.03</v>
      </c>
      <c r="N151" s="4" t="inlineStr">
        <is>
          <t>Existing</t>
        </is>
      </c>
      <c r="O151" s="4" t="inlineStr">
        <is>
          <t>Offline</t>
        </is>
      </c>
      <c r="P151" s="5" t="n">
        <v>1773.54</v>
      </c>
      <c r="Q151" s="5" t="n">
        <v>80.17</v>
      </c>
      <c r="R151" s="5" t="inlineStr"/>
    </row>
    <row r="152">
      <c r="A152" s="2" t="inlineStr">
        <is>
          <t>ORD-1151</t>
        </is>
      </c>
      <c r="B152" s="3" t="inlineStr">
        <is>
          <t>25-03-2024</t>
        </is>
      </c>
      <c r="C152" s="3" t="inlineStr">
        <is>
          <t>Mar-2024</t>
        </is>
      </c>
      <c r="D152" s="2" t="inlineStr">
        <is>
          <t>West</t>
        </is>
      </c>
      <c r="E152" s="2" t="inlineStr">
        <is>
          <t>Ahmedabad</t>
        </is>
      </c>
      <c r="F152" s="3" t="inlineStr">
        <is>
          <t>Arjun Mehta</t>
        </is>
      </c>
      <c r="G152" s="3" t="inlineStr">
        <is>
          <t>Software</t>
        </is>
      </c>
      <c r="H152" s="2" t="inlineStr">
        <is>
          <t>HR System</t>
        </is>
      </c>
      <c r="I152" s="2" t="n">
        <v>12</v>
      </c>
      <c r="J152" s="3" t="n">
        <v>2169.72</v>
      </c>
      <c r="K152" s="3" t="n">
        <v>26036.64</v>
      </c>
      <c r="L152" s="3" t="n">
        <v>7810.99</v>
      </c>
      <c r="M152" s="2" t="n">
        <v>18225.65</v>
      </c>
      <c r="N152" s="2" t="inlineStr">
        <is>
          <t>Existing</t>
        </is>
      </c>
      <c r="O152" s="2" t="inlineStr">
        <is>
          <t>Online</t>
        </is>
      </c>
      <c r="P152" s="3" t="n">
        <v>30294.69</v>
      </c>
      <c r="Q152" s="3" t="n">
        <v>85.94</v>
      </c>
      <c r="R152" s="3" t="inlineStr"/>
    </row>
    <row r="153">
      <c r="A153" s="4" t="inlineStr">
        <is>
          <t>ORD-1152</t>
        </is>
      </c>
      <c r="B153" s="5" t="inlineStr">
        <is>
          <t>26-03-2024</t>
        </is>
      </c>
      <c r="C153" s="5" t="inlineStr">
        <is>
          <t>Mar-2024</t>
        </is>
      </c>
      <c r="D153" s="4" t="inlineStr">
        <is>
          <t>West</t>
        </is>
      </c>
      <c r="E153" s="4" t="inlineStr">
        <is>
          <t>Pune</t>
        </is>
      </c>
      <c r="F153" s="5" t="inlineStr">
        <is>
          <t>Arjun Mehta</t>
        </is>
      </c>
      <c r="G153" s="5" t="inlineStr">
        <is>
          <t>Apparel</t>
        </is>
      </c>
      <c r="H153" s="4" t="inlineStr">
        <is>
          <t>T-Shirt</t>
        </is>
      </c>
      <c r="I153" s="4" t="n">
        <v>4</v>
      </c>
      <c r="J153" s="5" t="n">
        <v>36.64</v>
      </c>
      <c r="K153" s="5" t="n">
        <v>146.56</v>
      </c>
      <c r="L153" s="5" t="n">
        <v>65.95</v>
      </c>
      <c r="M153" s="4" t="n">
        <v>80.61</v>
      </c>
      <c r="N153" s="4" t="inlineStr">
        <is>
          <t>Existing</t>
        </is>
      </c>
      <c r="O153" s="4" t="inlineStr">
        <is>
          <t>Offline</t>
        </is>
      </c>
      <c r="P153" s="5" t="n">
        <v>149.92</v>
      </c>
      <c r="Q153" s="5" t="n">
        <v>97.76000000000001</v>
      </c>
      <c r="R153" s="5" t="inlineStr"/>
    </row>
    <row r="154">
      <c r="A154" s="2" t="inlineStr">
        <is>
          <t>ORD-1153</t>
        </is>
      </c>
      <c r="B154" s="3" t="inlineStr">
        <is>
          <t>27-03-2024</t>
        </is>
      </c>
      <c r="C154" s="3" t="inlineStr">
        <is>
          <t>Mar-2024</t>
        </is>
      </c>
      <c r="D154" s="2" t="inlineStr">
        <is>
          <t>West</t>
        </is>
      </c>
      <c r="E154" s="2" t="inlineStr">
        <is>
          <t>Mumbai</t>
        </is>
      </c>
      <c r="F154" s="3" t="inlineStr">
        <is>
          <t>Pooja Joshi</t>
        </is>
      </c>
      <c r="G154" s="3" t="inlineStr">
        <is>
          <t>Apparel</t>
        </is>
      </c>
      <c r="H154" s="2" t="inlineStr">
        <is>
          <t>Trousers</t>
        </is>
      </c>
      <c r="I154" s="2" t="n">
        <v>2</v>
      </c>
      <c r="J154" s="3" t="n">
        <v>73.18000000000001</v>
      </c>
      <c r="K154" s="3" t="n">
        <v>146.36</v>
      </c>
      <c r="L154" s="3" t="n">
        <v>65.86</v>
      </c>
      <c r="M154" s="2" t="n">
        <v>80.5</v>
      </c>
      <c r="N154" s="2" t="inlineStr">
        <is>
          <t>Existing</t>
        </is>
      </c>
      <c r="O154" s="2" t="inlineStr">
        <is>
          <t>Offline</t>
        </is>
      </c>
      <c r="P154" s="3" t="n">
        <v>137.18</v>
      </c>
      <c r="Q154" s="3" t="n">
        <v>106.69</v>
      </c>
      <c r="R154" s="3" t="inlineStr"/>
    </row>
    <row r="155">
      <c r="A155" s="4" t="inlineStr">
        <is>
          <t>ORD-1154</t>
        </is>
      </c>
      <c r="B155" s="5" t="inlineStr">
        <is>
          <t>27-03-2024</t>
        </is>
      </c>
      <c r="C155" s="5" t="inlineStr">
        <is>
          <t>Mar-2024</t>
        </is>
      </c>
      <c r="D155" s="4" t="inlineStr">
        <is>
          <t>North</t>
        </is>
      </c>
      <c r="E155" s="4" t="inlineStr">
        <is>
          <t>Delhi</t>
        </is>
      </c>
      <c r="F155" s="5" t="inlineStr">
        <is>
          <t>Amit Kumar</t>
        </is>
      </c>
      <c r="G155" s="5" t="inlineStr">
        <is>
          <t>Apparel</t>
        </is>
      </c>
      <c r="H155" s="4" t="inlineStr">
        <is>
          <t>Formal Shirt</t>
        </is>
      </c>
      <c r="I155" s="4" t="n">
        <v>1</v>
      </c>
      <c r="J155" s="5" t="n">
        <v>74.28</v>
      </c>
      <c r="K155" s="5" t="n">
        <v>74.28</v>
      </c>
      <c r="L155" s="5" t="n">
        <v>33.43</v>
      </c>
      <c r="M155" s="4" t="n">
        <v>40.85</v>
      </c>
      <c r="N155" s="4" t="inlineStr">
        <is>
          <t>Existing</t>
        </is>
      </c>
      <c r="O155" s="4" t="inlineStr">
        <is>
          <t>Online</t>
        </is>
      </c>
      <c r="P155" s="5" t="n">
        <v>64.11</v>
      </c>
      <c r="Q155" s="5" t="n">
        <v>115.86</v>
      </c>
      <c r="R155" s="5" t="inlineStr"/>
    </row>
    <row r="156">
      <c r="A156" s="2" t="inlineStr">
        <is>
          <t>ORD-1155</t>
        </is>
      </c>
      <c r="B156" s="3" t="inlineStr">
        <is>
          <t>27-03-2024</t>
        </is>
      </c>
      <c r="C156" s="3" t="inlineStr">
        <is>
          <t>Mar-2024</t>
        </is>
      </c>
      <c r="D156" s="2" t="inlineStr">
        <is>
          <t>South</t>
        </is>
      </c>
      <c r="E156" s="2" t="inlineStr">
        <is>
          <t>Hyderabad</t>
        </is>
      </c>
      <c r="F156" s="3" t="inlineStr">
        <is>
          <t>Deepa Nair</t>
        </is>
      </c>
      <c r="G156" s="3" t="inlineStr">
        <is>
          <t>Apparel</t>
        </is>
      </c>
      <c r="H156" s="2" t="inlineStr">
        <is>
          <t>Trousers</t>
        </is>
      </c>
      <c r="I156" s="2" t="n">
        <v>19</v>
      </c>
      <c r="J156" s="3" t="n">
        <v>63.45</v>
      </c>
      <c r="K156" s="3" t="n">
        <v>1205.55</v>
      </c>
      <c r="L156" s="3" t="n">
        <v>542.5</v>
      </c>
      <c r="M156" s="2" t="n">
        <v>663.05</v>
      </c>
      <c r="N156" s="2" t="inlineStr">
        <is>
          <t>New</t>
        </is>
      </c>
      <c r="O156" s="2" t="inlineStr">
        <is>
          <t>Offline</t>
        </is>
      </c>
      <c r="P156" s="3" t="n">
        <v>1536.37</v>
      </c>
      <c r="Q156" s="3" t="n">
        <v>78.47</v>
      </c>
      <c r="R156" s="3" t="inlineStr"/>
    </row>
    <row r="157">
      <c r="A157" s="4" t="inlineStr">
        <is>
          <t>ORD-1156</t>
        </is>
      </c>
      <c r="B157" s="5" t="inlineStr">
        <is>
          <t>28-03-2024</t>
        </is>
      </c>
      <c r="C157" s="5" t="inlineStr">
        <is>
          <t>Mar-2024</t>
        </is>
      </c>
      <c r="D157" s="4" t="inlineStr">
        <is>
          <t>West</t>
        </is>
      </c>
      <c r="E157" s="4" t="inlineStr">
        <is>
          <t>Mumbai</t>
        </is>
      </c>
      <c r="F157" s="5" t="inlineStr">
        <is>
          <t>Kavita Rao</t>
        </is>
      </c>
      <c r="G157" s="5" t="inlineStr">
        <is>
          <t>Furniture</t>
        </is>
      </c>
      <c r="H157" s="4" t="inlineStr">
        <is>
          <t>Bookshelf</t>
        </is>
      </c>
      <c r="I157" s="4" t="n">
        <v>13</v>
      </c>
      <c r="J157" s="5" t="n">
        <v>192.58</v>
      </c>
      <c r="K157" s="5" t="n">
        <v>2503.54</v>
      </c>
      <c r="L157" s="5" t="n">
        <v>1376.95</v>
      </c>
      <c r="M157" s="4" t="n">
        <v>1126.59</v>
      </c>
      <c r="N157" s="4" t="inlineStr">
        <is>
          <t>Existing</t>
        </is>
      </c>
      <c r="O157" s="4" t="inlineStr">
        <is>
          <t>Online</t>
        </is>
      </c>
      <c r="P157" s="5" t="n">
        <v>3205.18</v>
      </c>
      <c r="Q157" s="5" t="n">
        <v>78.11</v>
      </c>
      <c r="R157" s="5" t="inlineStr"/>
    </row>
    <row r="158">
      <c r="A158" s="2" t="inlineStr">
        <is>
          <t>ORD-1157</t>
        </is>
      </c>
      <c r="B158" s="3" t="inlineStr">
        <is>
          <t>28-03-2024</t>
        </is>
      </c>
      <c r="C158" s="3" t="inlineStr">
        <is>
          <t>Mar-2024</t>
        </is>
      </c>
      <c r="D158" s="2" t="inlineStr">
        <is>
          <t>North</t>
        </is>
      </c>
      <c r="E158" s="2" t="inlineStr">
        <is>
          <t>Lucknow</t>
        </is>
      </c>
      <c r="F158" s="3" t="inlineStr">
        <is>
          <t>Arjun Mehta</t>
        </is>
      </c>
      <c r="G158" s="3" t="inlineStr">
        <is>
          <t>Software</t>
        </is>
      </c>
      <c r="H158" s="2" t="inlineStr">
        <is>
          <t>HR System</t>
        </is>
      </c>
      <c r="I158" s="2" t="n">
        <v>18</v>
      </c>
      <c r="J158" s="3" t="n">
        <v>1847.1</v>
      </c>
      <c r="K158" s="3" t="n">
        <v>33247.8</v>
      </c>
      <c r="L158" s="3" t="n">
        <v>9974.34</v>
      </c>
      <c r="M158" s="2" t="n">
        <v>23273.46</v>
      </c>
      <c r="N158" s="2" t="inlineStr">
        <is>
          <t>Existing</t>
        </is>
      </c>
      <c r="O158" s="2" t="inlineStr">
        <is>
          <t>Offline</t>
        </is>
      </c>
      <c r="P158" s="3" t="n">
        <v>30165.24</v>
      </c>
      <c r="Q158" s="3" t="n">
        <v>110.22</v>
      </c>
      <c r="R158" s="3" t="inlineStr"/>
    </row>
    <row r="159">
      <c r="A159" s="4" t="inlineStr">
        <is>
          <t>ORD-1158</t>
        </is>
      </c>
      <c r="B159" s="5" t="inlineStr">
        <is>
          <t>29-03-2024</t>
        </is>
      </c>
      <c r="C159" s="5" t="inlineStr">
        <is>
          <t>Mar-2024</t>
        </is>
      </c>
      <c r="D159" s="4" t="inlineStr">
        <is>
          <t>East</t>
        </is>
      </c>
      <c r="E159" s="4" t="inlineStr">
        <is>
          <t>Patna</t>
        </is>
      </c>
      <c r="F159" s="5" t="inlineStr">
        <is>
          <t>Pooja Joshi</t>
        </is>
      </c>
      <c r="G159" s="5" t="inlineStr">
        <is>
          <t>Furniture</t>
        </is>
      </c>
      <c r="H159" s="4" t="inlineStr">
        <is>
          <t>Office Chair</t>
        </is>
      </c>
      <c r="I159" s="4" t="n">
        <v>5</v>
      </c>
      <c r="J159" s="5" t="n">
        <v>374.7</v>
      </c>
      <c r="K159" s="5" t="n">
        <v>1873.5</v>
      </c>
      <c r="L159" s="5" t="n">
        <v>1030.43</v>
      </c>
      <c r="M159" s="4" t="n">
        <v>843.0700000000001</v>
      </c>
      <c r="N159" s="4" t="inlineStr">
        <is>
          <t>Existing</t>
        </is>
      </c>
      <c r="O159" s="4" t="inlineStr">
        <is>
          <t>Online</t>
        </is>
      </c>
      <c r="P159" s="5" t="n">
        <v>2340.64</v>
      </c>
      <c r="Q159" s="5" t="n">
        <v>80.04000000000001</v>
      </c>
      <c r="R159" s="5" t="inlineStr"/>
    </row>
    <row r="160">
      <c r="A160" s="2" t="inlineStr">
        <is>
          <t>ORD-1159</t>
        </is>
      </c>
      <c r="B160" s="3" t="inlineStr">
        <is>
          <t>29-03-2024</t>
        </is>
      </c>
      <c r="C160" s="3" t="inlineStr">
        <is>
          <t>Mar-2024</t>
        </is>
      </c>
      <c r="D160" s="2" t="inlineStr">
        <is>
          <t>West</t>
        </is>
      </c>
      <c r="E160" s="2" t="inlineStr">
        <is>
          <t>Mumbai</t>
        </is>
      </c>
      <c r="F160" s="3" t="inlineStr">
        <is>
          <t>Deepa Nair</t>
        </is>
      </c>
      <c r="G160" s="3" t="inlineStr">
        <is>
          <t>Apparel</t>
        </is>
      </c>
      <c r="H160" s="2" t="inlineStr">
        <is>
          <t>Jacket</t>
        </is>
      </c>
      <c r="I160" s="2" t="n">
        <v>18</v>
      </c>
      <c r="J160" s="3" t="n">
        <v>121.01</v>
      </c>
      <c r="K160" s="3" t="n">
        <v>2178.18</v>
      </c>
      <c r="L160" s="3" t="n">
        <v>980.1799999999999</v>
      </c>
      <c r="M160" s="2" t="n">
        <v>1198</v>
      </c>
      <c r="N160" s="2" t="inlineStr">
        <is>
          <t>Existing</t>
        </is>
      </c>
      <c r="O160" s="2" t="inlineStr">
        <is>
          <t>Online</t>
        </is>
      </c>
      <c r="P160" s="3" t="n">
        <v>2517.77</v>
      </c>
      <c r="Q160" s="3" t="n">
        <v>86.51000000000001</v>
      </c>
      <c r="R160" s="3" t="inlineStr"/>
    </row>
    <row r="161">
      <c r="A161" s="4" t="inlineStr">
        <is>
          <t>ORD-1160</t>
        </is>
      </c>
      <c r="B161" s="5" t="inlineStr">
        <is>
          <t>29-03-2024</t>
        </is>
      </c>
      <c r="C161" s="5" t="inlineStr">
        <is>
          <t>Mar-2024</t>
        </is>
      </c>
      <c r="D161" s="4" t="inlineStr">
        <is>
          <t>South</t>
        </is>
      </c>
      <c r="E161" s="4" t="inlineStr">
        <is>
          <t>Bangalore</t>
        </is>
      </c>
      <c r="F161" s="5" t="inlineStr">
        <is>
          <t>Ravi Verma</t>
        </is>
      </c>
      <c r="G161" s="5" t="inlineStr">
        <is>
          <t>Furniture</t>
        </is>
      </c>
      <c r="H161" s="4" t="inlineStr">
        <is>
          <t>Office Chair</t>
        </is>
      </c>
      <c r="I161" s="4" t="n">
        <v>7</v>
      </c>
      <c r="J161" s="5" t="n">
        <v>370.44</v>
      </c>
      <c r="K161" s="5" t="n">
        <v>2593.08</v>
      </c>
      <c r="L161" s="5" t="n">
        <v>1426.19</v>
      </c>
      <c r="M161" s="4" t="n">
        <v>1166.89</v>
      </c>
      <c r="N161" s="4" t="inlineStr">
        <is>
          <t>New</t>
        </is>
      </c>
      <c r="O161" s="4" t="inlineStr">
        <is>
          <t>Offline</t>
        </is>
      </c>
      <c r="P161" s="5" t="n">
        <v>2108.54</v>
      </c>
      <c r="Q161" s="5" t="n">
        <v>122.98</v>
      </c>
      <c r="R161" s="5" t="inlineStr"/>
    </row>
    <row r="162">
      <c r="A162" s="2" t="inlineStr">
        <is>
          <t>ORD-1161</t>
        </is>
      </c>
      <c r="B162" s="3" t="inlineStr">
        <is>
          <t>30-03-2024</t>
        </is>
      </c>
      <c r="C162" s="3" t="inlineStr">
        <is>
          <t>Mar-2024</t>
        </is>
      </c>
      <c r="D162" s="2" t="inlineStr">
        <is>
          <t>East</t>
        </is>
      </c>
      <c r="E162" s="2" t="inlineStr">
        <is>
          <t>Bhubaneswar</t>
        </is>
      </c>
      <c r="F162" s="3" t="inlineStr">
        <is>
          <t>Ravi Verma</t>
        </is>
      </c>
      <c r="G162" s="3" t="inlineStr">
        <is>
          <t>Furniture</t>
        </is>
      </c>
      <c r="H162" s="2" t="inlineStr">
        <is>
          <t>Office Chair</t>
        </is>
      </c>
      <c r="I162" s="2" t="n">
        <v>3</v>
      </c>
      <c r="J162" s="3" t="n">
        <v>336.65</v>
      </c>
      <c r="K162" s="3" t="n">
        <v>1009.95</v>
      </c>
      <c r="L162" s="3" t="n">
        <v>555.47</v>
      </c>
      <c r="M162" s="2" t="n">
        <v>454.48</v>
      </c>
      <c r="N162" s="2" t="inlineStr">
        <is>
          <t>Existing</t>
        </is>
      </c>
      <c r="O162" s="2" t="inlineStr">
        <is>
          <t>Offline</t>
        </is>
      </c>
      <c r="P162" s="3" t="n">
        <v>1196.37</v>
      </c>
      <c r="Q162" s="3" t="n">
        <v>84.42</v>
      </c>
      <c r="R162" s="3" t="inlineStr"/>
    </row>
    <row r="163">
      <c r="A163" s="4" t="inlineStr">
        <is>
          <t>ORD-1162</t>
        </is>
      </c>
      <c r="B163" s="5" t="inlineStr">
        <is>
          <t>30-03-2024</t>
        </is>
      </c>
      <c r="C163" s="5" t="inlineStr">
        <is>
          <t>Mar-2024</t>
        </is>
      </c>
      <c r="D163" s="4" t="inlineStr">
        <is>
          <t>North</t>
        </is>
      </c>
      <c r="E163" s="4" t="inlineStr">
        <is>
          <t>Delhi</t>
        </is>
      </c>
      <c r="F163" s="5" t="inlineStr">
        <is>
          <t>Deepa Nair</t>
        </is>
      </c>
      <c r="G163" s="5" t="inlineStr">
        <is>
          <t>Electronics</t>
        </is>
      </c>
      <c r="H163" s="4" t="inlineStr">
        <is>
          <t>Smartwatch</t>
        </is>
      </c>
      <c r="I163" s="4" t="n">
        <v>15</v>
      </c>
      <c r="J163" s="5" t="n">
        <v>310.81</v>
      </c>
      <c r="K163" s="5" t="n">
        <v>4662.15</v>
      </c>
      <c r="L163" s="5" t="n">
        <v>2797.29</v>
      </c>
      <c r="M163" s="4" t="n">
        <v>1864.86</v>
      </c>
      <c r="N163" s="4" t="inlineStr">
        <is>
          <t>Existing</t>
        </is>
      </c>
      <c r="O163" s="4" t="inlineStr">
        <is>
          <t>Online</t>
        </is>
      </c>
      <c r="P163" s="5" t="n">
        <v>5776.31</v>
      </c>
      <c r="Q163" s="5" t="n">
        <v>80.70999999999999</v>
      </c>
      <c r="R163" s="5" t="inlineStr"/>
    </row>
    <row r="164">
      <c r="A164" s="2" t="inlineStr">
        <is>
          <t>ORD-1163</t>
        </is>
      </c>
      <c r="B164" s="3" t="inlineStr">
        <is>
          <t>30-03-2024</t>
        </is>
      </c>
      <c r="C164" s="3" t="inlineStr">
        <is>
          <t>Mar-2024</t>
        </is>
      </c>
      <c r="D164" s="2" t="inlineStr">
        <is>
          <t>South</t>
        </is>
      </c>
      <c r="E164" s="2" t="inlineStr">
        <is>
          <t>Chennai</t>
        </is>
      </c>
      <c r="F164" s="3" t="inlineStr">
        <is>
          <t>Amit Kumar</t>
        </is>
      </c>
      <c r="G164" s="3" t="inlineStr">
        <is>
          <t>Electronics</t>
        </is>
      </c>
      <c r="H164" s="2" t="inlineStr">
        <is>
          <t>Laptop</t>
        </is>
      </c>
      <c r="I164" s="2" t="n">
        <v>17</v>
      </c>
      <c r="J164" s="3" t="n">
        <v>1116.72</v>
      </c>
      <c r="K164" s="3" t="n">
        <v>18984.24</v>
      </c>
      <c r="L164" s="3" t="n">
        <v>11390.54</v>
      </c>
      <c r="M164" s="2" t="n">
        <v>7593.7</v>
      </c>
      <c r="N164" s="2" t="inlineStr">
        <is>
          <t>New</t>
        </is>
      </c>
      <c r="O164" s="2" t="inlineStr">
        <is>
          <t>Online</t>
        </is>
      </c>
      <c r="P164" s="3" t="n">
        <v>18250.13</v>
      </c>
      <c r="Q164" s="3" t="n">
        <v>104.02</v>
      </c>
      <c r="R164" s="3" t="inlineStr"/>
    </row>
    <row r="165">
      <c r="A165" s="4" t="inlineStr">
        <is>
          <t>ORD-1164</t>
        </is>
      </c>
      <c r="B165" s="5" t="inlineStr">
        <is>
          <t>01-04-2024</t>
        </is>
      </c>
      <c r="C165" s="5" t="inlineStr">
        <is>
          <t>Apr-2024</t>
        </is>
      </c>
      <c r="D165" s="4" t="inlineStr">
        <is>
          <t>East</t>
        </is>
      </c>
      <c r="E165" s="4" t="inlineStr">
        <is>
          <t>Kolkata</t>
        </is>
      </c>
      <c r="F165" s="5" t="inlineStr">
        <is>
          <t>Vikram Singh</t>
        </is>
      </c>
      <c r="G165" s="5" t="inlineStr">
        <is>
          <t>Furniture</t>
        </is>
      </c>
      <c r="H165" s="4" t="inlineStr">
        <is>
          <t>Bookshelf</t>
        </is>
      </c>
      <c r="I165" s="4" t="n">
        <v>5</v>
      </c>
      <c r="J165" s="5" t="n">
        <v>205</v>
      </c>
      <c r="K165" s="5" t="n">
        <v>1025</v>
      </c>
      <c r="L165" s="5" t="n">
        <v>563.75</v>
      </c>
      <c r="M165" s="4" t="n">
        <v>461.25</v>
      </c>
      <c r="N165" s="4" t="inlineStr">
        <is>
          <t>New</t>
        </is>
      </c>
      <c r="O165" s="4" t="inlineStr">
        <is>
          <t>Online</t>
        </is>
      </c>
      <c r="P165" s="5" t="n">
        <v>1123.3</v>
      </c>
      <c r="Q165" s="5" t="n">
        <v>91.25</v>
      </c>
      <c r="R165" s="5" t="inlineStr"/>
    </row>
    <row r="166">
      <c r="A166" s="2" t="inlineStr">
        <is>
          <t>ORD-1165</t>
        </is>
      </c>
      <c r="B166" s="3" t="inlineStr">
        <is>
          <t>01-04-2024</t>
        </is>
      </c>
      <c r="C166" s="3" t="inlineStr">
        <is>
          <t>Apr-2024</t>
        </is>
      </c>
      <c r="D166" s="2" t="inlineStr">
        <is>
          <t>South</t>
        </is>
      </c>
      <c r="E166" s="2" t="inlineStr">
        <is>
          <t>Chennai</t>
        </is>
      </c>
      <c r="F166" s="3" t="inlineStr">
        <is>
          <t>Kavita Rao</t>
        </is>
      </c>
      <c r="G166" s="3" t="inlineStr">
        <is>
          <t>Apparel</t>
        </is>
      </c>
      <c r="H166" s="2" t="inlineStr">
        <is>
          <t>Jacket</t>
        </is>
      </c>
      <c r="I166" s="2" t="n">
        <v>1</v>
      </c>
      <c r="J166" s="3" t="n">
        <v>109.95</v>
      </c>
      <c r="K166" s="3" t="n">
        <v>109.95</v>
      </c>
      <c r="L166" s="3" t="n">
        <v>49.48</v>
      </c>
      <c r="M166" s="2" t="n">
        <v>60.47</v>
      </c>
      <c r="N166" s="2" t="inlineStr">
        <is>
          <t>Existing</t>
        </is>
      </c>
      <c r="O166" s="2" t="inlineStr">
        <is>
          <t>Online</t>
        </is>
      </c>
      <c r="P166" s="3" t="n">
        <v>130.12</v>
      </c>
      <c r="Q166" s="3" t="n">
        <v>84.5</v>
      </c>
      <c r="R166" s="3" t="inlineStr"/>
    </row>
    <row r="167">
      <c r="A167" s="4" t="inlineStr">
        <is>
          <t>ORD-1166</t>
        </is>
      </c>
      <c r="B167" s="5" t="inlineStr">
        <is>
          <t>02-04-2024</t>
        </is>
      </c>
      <c r="C167" s="5" t="inlineStr">
        <is>
          <t>Apr-2024</t>
        </is>
      </c>
      <c r="D167" s="4" t="inlineStr">
        <is>
          <t>North</t>
        </is>
      </c>
      <c r="E167" s="4" t="inlineStr">
        <is>
          <t>Chandigarh</t>
        </is>
      </c>
      <c r="F167" s="5" t="inlineStr">
        <is>
          <t>Ravi Verma</t>
        </is>
      </c>
      <c r="G167" s="5" t="inlineStr">
        <is>
          <t>Apparel</t>
        </is>
      </c>
      <c r="H167" s="4" t="inlineStr">
        <is>
          <t>T-Shirt</t>
        </is>
      </c>
      <c r="I167" s="4" t="n">
        <v>16</v>
      </c>
      <c r="J167" s="5" t="n">
        <v>37.96</v>
      </c>
      <c r="K167" s="5" t="n">
        <v>607.36</v>
      </c>
      <c r="L167" s="5" t="n">
        <v>273.31</v>
      </c>
      <c r="M167" s="4" t="n">
        <v>334.05</v>
      </c>
      <c r="N167" s="4" t="inlineStr">
        <is>
          <t>Existing</t>
        </is>
      </c>
      <c r="O167" s="4" t="inlineStr">
        <is>
          <t>Offline</t>
        </is>
      </c>
      <c r="P167" s="5" t="n">
        <v>623.62</v>
      </c>
      <c r="Q167" s="5" t="n">
        <v>97.39</v>
      </c>
      <c r="R167" s="5" t="inlineStr"/>
    </row>
    <row r="168">
      <c r="A168" s="2" t="inlineStr">
        <is>
          <t>ORD-1167</t>
        </is>
      </c>
      <c r="B168" s="3" t="inlineStr">
        <is>
          <t>02-04-2024</t>
        </is>
      </c>
      <c r="C168" s="3" t="inlineStr">
        <is>
          <t>Apr-2024</t>
        </is>
      </c>
      <c r="D168" s="2" t="inlineStr">
        <is>
          <t>North</t>
        </is>
      </c>
      <c r="E168" s="2" t="inlineStr">
        <is>
          <t>Delhi</t>
        </is>
      </c>
      <c r="F168" s="3" t="inlineStr">
        <is>
          <t>Pooja Joshi</t>
        </is>
      </c>
      <c r="G168" s="3" t="inlineStr">
        <is>
          <t>Software</t>
        </is>
      </c>
      <c r="H168" s="2" t="inlineStr">
        <is>
          <t>HR System</t>
        </is>
      </c>
      <c r="I168" s="2" t="n">
        <v>15</v>
      </c>
      <c r="J168" s="3" t="n">
        <v>1881.61</v>
      </c>
      <c r="K168" s="3" t="n">
        <v>28224.15</v>
      </c>
      <c r="L168" s="3" t="n">
        <v>8467.25</v>
      </c>
      <c r="M168" s="2" t="n">
        <v>19756.9</v>
      </c>
      <c r="N168" s="2" t="inlineStr">
        <is>
          <t>New</t>
        </is>
      </c>
      <c r="O168" s="2" t="inlineStr">
        <is>
          <t>Offline</t>
        </is>
      </c>
      <c r="P168" s="3" t="n">
        <v>34736.66</v>
      </c>
      <c r="Q168" s="3" t="n">
        <v>81.25</v>
      </c>
      <c r="R168" s="3" t="inlineStr"/>
    </row>
    <row r="169">
      <c r="A169" s="4" t="inlineStr">
        <is>
          <t>ORD-1168</t>
        </is>
      </c>
      <c r="B169" s="5" t="inlineStr">
        <is>
          <t>03-04-2024</t>
        </is>
      </c>
      <c r="C169" s="5" t="inlineStr">
        <is>
          <t>Apr-2024</t>
        </is>
      </c>
      <c r="D169" s="4" t="inlineStr">
        <is>
          <t>East</t>
        </is>
      </c>
      <c r="E169" s="4" t="inlineStr">
        <is>
          <t>Bhubaneswar</t>
        </is>
      </c>
      <c r="F169" s="5" t="inlineStr">
        <is>
          <t>Arjun Mehta</t>
        </is>
      </c>
      <c r="G169" s="5" t="inlineStr">
        <is>
          <t>Apparel</t>
        </is>
      </c>
      <c r="H169" s="4" t="inlineStr">
        <is>
          <t>Jacket</t>
        </is>
      </c>
      <c r="I169" s="4" t="n">
        <v>11</v>
      </c>
      <c r="J169" s="5" t="n">
        <v>113.8</v>
      </c>
      <c r="K169" s="5" t="n">
        <v>1251.8</v>
      </c>
      <c r="L169" s="5" t="n">
        <v>563.3099999999999</v>
      </c>
      <c r="M169" s="4" t="n">
        <v>688.49</v>
      </c>
      <c r="N169" s="4" t="inlineStr">
        <is>
          <t>New</t>
        </is>
      </c>
      <c r="O169" s="4" t="inlineStr">
        <is>
          <t>Offline</t>
        </is>
      </c>
      <c r="P169" s="5" t="n">
        <v>1282.84</v>
      </c>
      <c r="Q169" s="5" t="n">
        <v>97.58</v>
      </c>
      <c r="R169" s="5" t="inlineStr"/>
    </row>
    <row r="170">
      <c r="A170" s="2" t="inlineStr">
        <is>
          <t>ORD-1169</t>
        </is>
      </c>
      <c r="B170" s="3" t="inlineStr">
        <is>
          <t>03-04-2024</t>
        </is>
      </c>
      <c r="C170" s="3" t="inlineStr">
        <is>
          <t>Apr-2024</t>
        </is>
      </c>
      <c r="D170" s="2" t="inlineStr">
        <is>
          <t>South</t>
        </is>
      </c>
      <c r="E170" s="2" t="inlineStr">
        <is>
          <t>Chennai</t>
        </is>
      </c>
      <c r="F170" s="3" t="inlineStr">
        <is>
          <t>Rahul Sharma</t>
        </is>
      </c>
      <c r="G170" s="3" t="inlineStr">
        <is>
          <t>Apparel</t>
        </is>
      </c>
      <c r="H170" s="2" t="inlineStr">
        <is>
          <t>Trousers</t>
        </is>
      </c>
      <c r="I170" s="2" t="n">
        <v>20</v>
      </c>
      <c r="J170" s="3" t="n">
        <v>68.84999999999999</v>
      </c>
      <c r="K170" s="3" t="n">
        <v>1377</v>
      </c>
      <c r="L170" s="3" t="n">
        <v>619.65</v>
      </c>
      <c r="M170" s="2" t="n">
        <v>757.35</v>
      </c>
      <c r="N170" s="2" t="inlineStr">
        <is>
          <t>New</t>
        </is>
      </c>
      <c r="O170" s="2" t="inlineStr">
        <is>
          <t>Offline</t>
        </is>
      </c>
      <c r="P170" s="3" t="n">
        <v>1744.49</v>
      </c>
      <c r="Q170" s="3" t="n">
        <v>78.93000000000001</v>
      </c>
      <c r="R170" s="3" t="inlineStr"/>
    </row>
    <row r="171">
      <c r="A171" s="4" t="inlineStr">
        <is>
          <t>ORD-1170</t>
        </is>
      </c>
      <c r="B171" s="5" t="inlineStr">
        <is>
          <t>04-04-2024</t>
        </is>
      </c>
      <c r="C171" s="5" t="inlineStr">
        <is>
          <t>Apr-2024</t>
        </is>
      </c>
      <c r="D171" s="4" t="inlineStr">
        <is>
          <t>East</t>
        </is>
      </c>
      <c r="E171" s="4" t="inlineStr">
        <is>
          <t>Kolkata</t>
        </is>
      </c>
      <c r="F171" s="5" t="inlineStr">
        <is>
          <t>Arjun Mehta</t>
        </is>
      </c>
      <c r="G171" s="5" t="inlineStr">
        <is>
          <t>Software</t>
        </is>
      </c>
      <c r="H171" s="4" t="inlineStr">
        <is>
          <t>HR System</t>
        </is>
      </c>
      <c r="I171" s="4" t="n">
        <v>16</v>
      </c>
      <c r="J171" s="5" t="n">
        <v>2151.63</v>
      </c>
      <c r="K171" s="5" t="n">
        <v>34426.08</v>
      </c>
      <c r="L171" s="5" t="n">
        <v>10327.82</v>
      </c>
      <c r="M171" s="4" t="n">
        <v>24098.26</v>
      </c>
      <c r="N171" s="4" t="inlineStr">
        <is>
          <t>Existing</t>
        </is>
      </c>
      <c r="O171" s="4" t="inlineStr">
        <is>
          <t>Online</t>
        </is>
      </c>
      <c r="P171" s="5" t="n">
        <v>29090.88</v>
      </c>
      <c r="Q171" s="5" t="n">
        <v>118.34</v>
      </c>
      <c r="R171" s="5" t="inlineStr"/>
    </row>
    <row r="172">
      <c r="A172" s="2" t="inlineStr">
        <is>
          <t>ORD-1171</t>
        </is>
      </c>
      <c r="B172" s="3" t="inlineStr">
        <is>
          <t>04-04-2024</t>
        </is>
      </c>
      <c r="C172" s="3" t="inlineStr">
        <is>
          <t>Apr-2024</t>
        </is>
      </c>
      <c r="D172" s="2" t="inlineStr">
        <is>
          <t>West</t>
        </is>
      </c>
      <c r="E172" s="2" t="inlineStr">
        <is>
          <t>Pune</t>
        </is>
      </c>
      <c r="F172" s="3" t="inlineStr">
        <is>
          <t>Pooja Joshi</t>
        </is>
      </c>
      <c r="G172" s="3" t="inlineStr">
        <is>
          <t>Furniture</t>
        </is>
      </c>
      <c r="H172" s="2" t="inlineStr">
        <is>
          <t>Desk</t>
        </is>
      </c>
      <c r="I172" s="2" t="n">
        <v>19</v>
      </c>
      <c r="J172" s="3" t="n">
        <v>436.76</v>
      </c>
      <c r="K172" s="3" t="n">
        <v>8298.440000000001</v>
      </c>
      <c r="L172" s="3" t="n">
        <v>4564.14</v>
      </c>
      <c r="M172" s="2" t="n">
        <v>3734.3</v>
      </c>
      <c r="N172" s="2" t="inlineStr">
        <is>
          <t>New</t>
        </is>
      </c>
      <c r="O172" s="2" t="inlineStr">
        <is>
          <t>Offline</t>
        </is>
      </c>
      <c r="P172" s="3" t="n">
        <v>8692.18</v>
      </c>
      <c r="Q172" s="3" t="n">
        <v>95.47</v>
      </c>
      <c r="R172" s="3" t="inlineStr"/>
    </row>
    <row r="173">
      <c r="A173" s="4" t="inlineStr">
        <is>
          <t>ORD-1172</t>
        </is>
      </c>
      <c r="B173" s="5" t="inlineStr">
        <is>
          <t>04-04-2024</t>
        </is>
      </c>
      <c r="C173" s="5" t="inlineStr">
        <is>
          <t>Apr-2024</t>
        </is>
      </c>
      <c r="D173" s="4" t="inlineStr">
        <is>
          <t>West</t>
        </is>
      </c>
      <c r="E173" s="4" t="inlineStr">
        <is>
          <t>Ahmedabad</t>
        </is>
      </c>
      <c r="F173" s="5" t="inlineStr">
        <is>
          <t>Ravi Verma</t>
        </is>
      </c>
      <c r="G173" s="5" t="inlineStr">
        <is>
          <t>Electronics</t>
        </is>
      </c>
      <c r="H173" s="4" t="inlineStr">
        <is>
          <t>Laptop</t>
        </is>
      </c>
      <c r="I173" s="4" t="n">
        <v>14</v>
      </c>
      <c r="J173" s="5" t="n">
        <v>1112.14</v>
      </c>
      <c r="K173" s="5" t="n">
        <v>15569.96</v>
      </c>
      <c r="L173" s="5" t="n">
        <v>9341.98</v>
      </c>
      <c r="M173" s="4" t="n">
        <v>6227.98</v>
      </c>
      <c r="N173" s="4" t="inlineStr">
        <is>
          <t>Existing</t>
        </is>
      </c>
      <c r="O173" s="4" t="inlineStr">
        <is>
          <t>Offline</t>
        </is>
      </c>
      <c r="P173" s="5" t="n">
        <v>18402.58</v>
      </c>
      <c r="Q173" s="5" t="n">
        <v>84.61</v>
      </c>
      <c r="R173" s="5" t="inlineStr"/>
    </row>
    <row r="174">
      <c r="A174" s="2" t="inlineStr">
        <is>
          <t>ORD-1173</t>
        </is>
      </c>
      <c r="B174" s="3" t="inlineStr">
        <is>
          <t>05-04-2024</t>
        </is>
      </c>
      <c r="C174" s="3" t="inlineStr">
        <is>
          <t>Apr-2024</t>
        </is>
      </c>
      <c r="D174" s="2" t="inlineStr">
        <is>
          <t>North</t>
        </is>
      </c>
      <c r="E174" s="2" t="inlineStr">
        <is>
          <t>Chandigarh</t>
        </is>
      </c>
      <c r="F174" s="3" t="inlineStr">
        <is>
          <t>Rahul Sharma</t>
        </is>
      </c>
      <c r="G174" s="3" t="inlineStr">
        <is>
          <t>Furniture</t>
        </is>
      </c>
      <c r="H174" s="2" t="inlineStr">
        <is>
          <t>Bookshelf</t>
        </is>
      </c>
      <c r="I174" s="2" t="n">
        <v>18</v>
      </c>
      <c r="J174" s="3" t="n">
        <v>191.54</v>
      </c>
      <c r="K174" s="3" t="n">
        <v>3447.72</v>
      </c>
      <c r="L174" s="3" t="n">
        <v>1896.25</v>
      </c>
      <c r="M174" s="2" t="n">
        <v>1551.47</v>
      </c>
      <c r="N174" s="2" t="inlineStr">
        <is>
          <t>Existing</t>
        </is>
      </c>
      <c r="O174" s="2" t="inlineStr">
        <is>
          <t>Offline</t>
        </is>
      </c>
      <c r="P174" s="3" t="n">
        <v>4075.9</v>
      </c>
      <c r="Q174" s="3" t="n">
        <v>84.59</v>
      </c>
      <c r="R174" s="3" t="inlineStr"/>
    </row>
    <row r="175">
      <c r="A175" s="4" t="inlineStr">
        <is>
          <t>ORD-1174</t>
        </is>
      </c>
      <c r="B175" s="5" t="inlineStr">
        <is>
          <t>05-04-2024</t>
        </is>
      </c>
      <c r="C175" s="5" t="inlineStr">
        <is>
          <t>Apr-2024</t>
        </is>
      </c>
      <c r="D175" s="4" t="inlineStr">
        <is>
          <t>East</t>
        </is>
      </c>
      <c r="E175" s="4" t="inlineStr">
        <is>
          <t>Patna</t>
        </is>
      </c>
      <c r="F175" s="5" t="inlineStr">
        <is>
          <t>Kavita Rao</t>
        </is>
      </c>
      <c r="G175" s="5" t="inlineStr">
        <is>
          <t>Electronics</t>
        </is>
      </c>
      <c r="H175" s="4" t="inlineStr">
        <is>
          <t>Smartphone</t>
        </is>
      </c>
      <c r="I175" s="4" t="n">
        <v>4</v>
      </c>
      <c r="J175" s="5" t="n">
        <v>783.02</v>
      </c>
      <c r="K175" s="5" t="n">
        <v>3132.08</v>
      </c>
      <c r="L175" s="5" t="n">
        <v>1879.25</v>
      </c>
      <c r="M175" s="4" t="n">
        <v>1252.83</v>
      </c>
      <c r="N175" s="4" t="inlineStr">
        <is>
          <t>Existing</t>
        </is>
      </c>
      <c r="O175" s="4" t="inlineStr">
        <is>
          <t>Offline</t>
        </is>
      </c>
      <c r="P175" s="5" t="n">
        <v>3687.97</v>
      </c>
      <c r="Q175" s="5" t="n">
        <v>84.93000000000001</v>
      </c>
      <c r="R175" s="5" t="inlineStr"/>
    </row>
    <row r="176">
      <c r="A176" s="2" t="inlineStr">
        <is>
          <t>ORD-1175</t>
        </is>
      </c>
      <c r="B176" s="3" t="inlineStr">
        <is>
          <t>06-04-2024</t>
        </is>
      </c>
      <c r="C176" s="3" t="inlineStr">
        <is>
          <t>Apr-2024</t>
        </is>
      </c>
      <c r="D176" s="2" t="inlineStr">
        <is>
          <t>West</t>
        </is>
      </c>
      <c r="E176" s="2" t="inlineStr">
        <is>
          <t>Pune</t>
        </is>
      </c>
      <c r="F176" s="3" t="inlineStr">
        <is>
          <t>Rahul Sharma</t>
        </is>
      </c>
      <c r="G176" s="3" t="inlineStr">
        <is>
          <t>Electronics</t>
        </is>
      </c>
      <c r="H176" s="2" t="inlineStr">
        <is>
          <t>Laptop</t>
        </is>
      </c>
      <c r="I176" s="2" t="n">
        <v>5</v>
      </c>
      <c r="J176" s="3" t="n">
        <v>1251.26</v>
      </c>
      <c r="K176" s="3" t="n">
        <v>6256.3</v>
      </c>
      <c r="L176" s="3" t="n">
        <v>3753.78</v>
      </c>
      <c r="M176" s="2" t="n">
        <v>2502.52</v>
      </c>
      <c r="N176" s="2" t="inlineStr">
        <is>
          <t>Existing</t>
        </is>
      </c>
      <c r="O176" s="2" t="inlineStr">
        <is>
          <t>Offline</t>
        </is>
      </c>
      <c r="P176" s="3" t="n">
        <v>5470.95</v>
      </c>
      <c r="Q176" s="3" t="n">
        <v>114.35</v>
      </c>
      <c r="R176" s="3" t="inlineStr"/>
    </row>
    <row r="177">
      <c r="A177" s="4" t="inlineStr">
        <is>
          <t>ORD-1176</t>
        </is>
      </c>
      <c r="B177" s="5" t="inlineStr">
        <is>
          <t>08-04-2024</t>
        </is>
      </c>
      <c r="C177" s="5" t="inlineStr">
        <is>
          <t>Apr-2024</t>
        </is>
      </c>
      <c r="D177" s="4" t="inlineStr">
        <is>
          <t>East</t>
        </is>
      </c>
      <c r="E177" s="4" t="inlineStr">
        <is>
          <t>Kolkata</t>
        </is>
      </c>
      <c r="F177" s="5" t="inlineStr">
        <is>
          <t>Amit Kumar</t>
        </is>
      </c>
      <c r="G177" s="5" t="inlineStr">
        <is>
          <t>Apparel</t>
        </is>
      </c>
      <c r="H177" s="4" t="inlineStr">
        <is>
          <t>T-Shirt</t>
        </is>
      </c>
      <c r="I177" s="4" t="n">
        <v>17</v>
      </c>
      <c r="J177" s="5" t="n">
        <v>42.63</v>
      </c>
      <c r="K177" s="5" t="n">
        <v>724.71</v>
      </c>
      <c r="L177" s="5" t="n">
        <v>326.12</v>
      </c>
      <c r="M177" s="4" t="n">
        <v>398.59</v>
      </c>
      <c r="N177" s="4" t="inlineStr">
        <is>
          <t>Existing</t>
        </is>
      </c>
      <c r="O177" s="4" t="inlineStr">
        <is>
          <t>Offline</t>
        </is>
      </c>
      <c r="P177" s="5" t="n">
        <v>751.85</v>
      </c>
      <c r="Q177" s="5" t="n">
        <v>96.39</v>
      </c>
      <c r="R177" s="5" t="inlineStr"/>
    </row>
    <row r="178">
      <c r="A178" s="2" t="inlineStr">
        <is>
          <t>ORD-1177</t>
        </is>
      </c>
      <c r="B178" s="3" t="inlineStr">
        <is>
          <t>08-04-2024</t>
        </is>
      </c>
      <c r="C178" s="3" t="inlineStr">
        <is>
          <t>Apr-2024</t>
        </is>
      </c>
      <c r="D178" s="2" t="inlineStr">
        <is>
          <t>North</t>
        </is>
      </c>
      <c r="E178" s="2" t="inlineStr">
        <is>
          <t>Chandigarh</t>
        </is>
      </c>
      <c r="F178" s="3" t="inlineStr">
        <is>
          <t>Deepa Nair</t>
        </is>
      </c>
      <c r="G178" s="3" t="inlineStr">
        <is>
          <t>Electronics</t>
        </is>
      </c>
      <c r="H178" s="2" t="inlineStr">
        <is>
          <t>Smartwatch</t>
        </is>
      </c>
      <c r="I178" s="2" t="n">
        <v>19</v>
      </c>
      <c r="J178" s="3" t="n">
        <v>288.46</v>
      </c>
      <c r="K178" s="3" t="n">
        <v>5480.74</v>
      </c>
      <c r="L178" s="3" t="n">
        <v>3288.44</v>
      </c>
      <c r="M178" s="2" t="n">
        <v>2192.3</v>
      </c>
      <c r="N178" s="2" t="inlineStr">
        <is>
          <t>New</t>
        </is>
      </c>
      <c r="O178" s="2" t="inlineStr">
        <is>
          <t>Offline</t>
        </is>
      </c>
      <c r="P178" s="3" t="n">
        <v>5112.24</v>
      </c>
      <c r="Q178" s="3" t="n">
        <v>107.21</v>
      </c>
      <c r="R178" s="3" t="inlineStr"/>
    </row>
    <row r="179">
      <c r="A179" s="4" t="inlineStr">
        <is>
          <t>ORD-1178</t>
        </is>
      </c>
      <c r="B179" s="5" t="inlineStr">
        <is>
          <t>09-04-2024</t>
        </is>
      </c>
      <c r="C179" s="5" t="inlineStr">
        <is>
          <t>Apr-2024</t>
        </is>
      </c>
      <c r="D179" s="4" t="inlineStr">
        <is>
          <t>South</t>
        </is>
      </c>
      <c r="E179" s="4" t="inlineStr">
        <is>
          <t>Hyderabad</t>
        </is>
      </c>
      <c r="F179" s="5" t="inlineStr">
        <is>
          <t>Rahul Sharma</t>
        </is>
      </c>
      <c r="G179" s="5" t="inlineStr">
        <is>
          <t>Software</t>
        </is>
      </c>
      <c r="H179" s="4" t="inlineStr">
        <is>
          <t>CRM Tool</t>
        </is>
      </c>
      <c r="I179" s="4" t="n">
        <v>17</v>
      </c>
      <c r="J179" s="5" t="n">
        <v>3077.42</v>
      </c>
      <c r="K179" s="5" t="n">
        <v>52316.14</v>
      </c>
      <c r="L179" s="5" t="n">
        <v>15694.84</v>
      </c>
      <c r="M179" s="4" t="n">
        <v>36621.3</v>
      </c>
      <c r="N179" s="4" t="inlineStr">
        <is>
          <t>Existing</t>
        </is>
      </c>
      <c r="O179" s="4" t="inlineStr">
        <is>
          <t>Online</t>
        </is>
      </c>
      <c r="P179" s="5" t="n">
        <v>63345.99</v>
      </c>
      <c r="Q179" s="5" t="n">
        <v>82.59</v>
      </c>
      <c r="R179" s="5" t="inlineStr"/>
    </row>
    <row r="180">
      <c r="A180" s="2" t="inlineStr">
        <is>
          <t>ORD-1179</t>
        </is>
      </c>
      <c r="B180" s="3" t="inlineStr">
        <is>
          <t>09-04-2024</t>
        </is>
      </c>
      <c r="C180" s="3" t="inlineStr">
        <is>
          <t>Apr-2024</t>
        </is>
      </c>
      <c r="D180" s="2" t="inlineStr">
        <is>
          <t>South</t>
        </is>
      </c>
      <c r="E180" s="2" t="inlineStr">
        <is>
          <t>Chennai</t>
        </is>
      </c>
      <c r="F180" s="3" t="inlineStr">
        <is>
          <t>Kavita Rao</t>
        </is>
      </c>
      <c r="G180" s="3" t="inlineStr">
        <is>
          <t>Electronics</t>
        </is>
      </c>
      <c r="H180" s="2" t="inlineStr">
        <is>
          <t>Smartphone</t>
        </is>
      </c>
      <c r="I180" s="2" t="n">
        <v>1</v>
      </c>
      <c r="J180" s="3" t="n">
        <v>790.5700000000001</v>
      </c>
      <c r="K180" s="3" t="n">
        <v>790.5700000000001</v>
      </c>
      <c r="L180" s="3" t="n">
        <v>474.34</v>
      </c>
      <c r="M180" s="2" t="n">
        <v>316.23</v>
      </c>
      <c r="N180" s="2" t="inlineStr">
        <is>
          <t>Existing</t>
        </is>
      </c>
      <c r="O180" s="2" t="inlineStr">
        <is>
          <t>Online</t>
        </is>
      </c>
      <c r="P180" s="3" t="n">
        <v>795.6900000000001</v>
      </c>
      <c r="Q180" s="3" t="n">
        <v>99.36</v>
      </c>
      <c r="R180" s="3" t="inlineStr"/>
    </row>
    <row r="181">
      <c r="A181" s="4" t="inlineStr">
        <is>
          <t>ORD-1180</t>
        </is>
      </c>
      <c r="B181" s="5" t="inlineStr">
        <is>
          <t>09-04-2024</t>
        </is>
      </c>
      <c r="C181" s="5" t="inlineStr">
        <is>
          <t>Apr-2024</t>
        </is>
      </c>
      <c r="D181" s="4" t="inlineStr">
        <is>
          <t>South</t>
        </is>
      </c>
      <c r="E181" s="4" t="inlineStr">
        <is>
          <t>Bangalore</t>
        </is>
      </c>
      <c r="F181" s="5" t="inlineStr">
        <is>
          <t>Ravi Verma</t>
        </is>
      </c>
      <c r="G181" s="5" t="inlineStr">
        <is>
          <t>Software</t>
        </is>
      </c>
      <c r="H181" s="4" t="inlineStr">
        <is>
          <t>ERP Suite</t>
        </is>
      </c>
      <c r="I181" s="4" t="n">
        <v>5</v>
      </c>
      <c r="J181" s="5" t="n">
        <v>5018.68</v>
      </c>
      <c r="K181" s="5" t="n">
        <v>25093.4</v>
      </c>
      <c r="L181" s="5" t="n">
        <v>7528.02</v>
      </c>
      <c r="M181" s="4" t="n">
        <v>17565.38</v>
      </c>
      <c r="N181" s="4" t="inlineStr">
        <is>
          <t>Existing</t>
        </is>
      </c>
      <c r="O181" s="4" t="inlineStr">
        <is>
          <t>Offline</t>
        </is>
      </c>
      <c r="P181" s="5" t="n">
        <v>26667.72</v>
      </c>
      <c r="Q181" s="5" t="n">
        <v>94.09999999999999</v>
      </c>
      <c r="R181" s="5" t="inlineStr"/>
    </row>
    <row r="182">
      <c r="A182" s="2" t="inlineStr">
        <is>
          <t>ORD-1181</t>
        </is>
      </c>
      <c r="B182" s="3" t="inlineStr">
        <is>
          <t>10-04-2024</t>
        </is>
      </c>
      <c r="C182" s="3" t="inlineStr">
        <is>
          <t>Apr-2024</t>
        </is>
      </c>
      <c r="D182" s="2" t="inlineStr">
        <is>
          <t>South</t>
        </is>
      </c>
      <c r="E182" s="2" t="inlineStr">
        <is>
          <t>Bangalore</t>
        </is>
      </c>
      <c r="F182" s="3" t="inlineStr">
        <is>
          <t>Ravi Verma</t>
        </is>
      </c>
      <c r="G182" s="3" t="inlineStr">
        <is>
          <t>Apparel</t>
        </is>
      </c>
      <c r="H182" s="2" t="inlineStr">
        <is>
          <t>T-Shirt</t>
        </is>
      </c>
      <c r="I182" s="2" t="n">
        <v>9</v>
      </c>
      <c r="J182" s="3" t="n">
        <v>40.88</v>
      </c>
      <c r="K182" s="3" t="n">
        <v>367.92</v>
      </c>
      <c r="L182" s="3" t="n">
        <v>165.56</v>
      </c>
      <c r="M182" s="2" t="n">
        <v>202.36</v>
      </c>
      <c r="N182" s="2" t="inlineStr">
        <is>
          <t>New</t>
        </is>
      </c>
      <c r="O182" s="2" t="inlineStr">
        <is>
          <t>Online</t>
        </is>
      </c>
      <c r="P182" s="3" t="n">
        <v>345.66</v>
      </c>
      <c r="Q182" s="3" t="n">
        <v>106.44</v>
      </c>
      <c r="R182" s="3" t="inlineStr"/>
    </row>
    <row r="183">
      <c r="A183" s="4" t="inlineStr">
        <is>
          <t>ORD-1182</t>
        </is>
      </c>
      <c r="B183" s="5" t="inlineStr">
        <is>
          <t>10-04-2024</t>
        </is>
      </c>
      <c r="C183" s="5" t="inlineStr">
        <is>
          <t>Apr-2024</t>
        </is>
      </c>
      <c r="D183" s="4" t="inlineStr">
        <is>
          <t>East</t>
        </is>
      </c>
      <c r="E183" s="4" t="inlineStr">
        <is>
          <t>Kolkata</t>
        </is>
      </c>
      <c r="F183" s="5" t="inlineStr">
        <is>
          <t>Vikram Singh</t>
        </is>
      </c>
      <c r="G183" s="5" t="inlineStr">
        <is>
          <t>Apparel</t>
        </is>
      </c>
      <c r="H183" s="4" t="inlineStr">
        <is>
          <t>Formal Shirt</t>
        </is>
      </c>
      <c r="I183" s="4" t="n">
        <v>16</v>
      </c>
      <c r="J183" s="5" t="n">
        <v>77.06999999999999</v>
      </c>
      <c r="K183" s="5" t="n">
        <v>1233.12</v>
      </c>
      <c r="L183" s="5" t="n">
        <v>554.9</v>
      </c>
      <c r="M183" s="4" t="n">
        <v>678.22</v>
      </c>
      <c r="N183" s="4" t="inlineStr">
        <is>
          <t>Existing</t>
        </is>
      </c>
      <c r="O183" s="4" t="inlineStr">
        <is>
          <t>Offline</t>
        </is>
      </c>
      <c r="P183" s="5" t="n">
        <v>1163.94</v>
      </c>
      <c r="Q183" s="5" t="n">
        <v>105.94</v>
      </c>
      <c r="R183" s="5" t="inlineStr"/>
    </row>
    <row r="184">
      <c r="A184" s="2" t="inlineStr">
        <is>
          <t>ORD-1183</t>
        </is>
      </c>
      <c r="B184" s="3" t="inlineStr">
        <is>
          <t>11-04-2024</t>
        </is>
      </c>
      <c r="C184" s="3" t="inlineStr">
        <is>
          <t>Apr-2024</t>
        </is>
      </c>
      <c r="D184" s="2" t="inlineStr">
        <is>
          <t>West</t>
        </is>
      </c>
      <c r="E184" s="2" t="inlineStr">
        <is>
          <t>Ahmedabad</t>
        </is>
      </c>
      <c r="F184" s="3" t="inlineStr">
        <is>
          <t>Deepa Nair</t>
        </is>
      </c>
      <c r="G184" s="3" t="inlineStr">
        <is>
          <t>Furniture</t>
        </is>
      </c>
      <c r="H184" s="2" t="inlineStr">
        <is>
          <t>Bookshelf</t>
        </is>
      </c>
      <c r="I184" s="2" t="n">
        <v>2</v>
      </c>
      <c r="J184" s="3" t="n">
        <v>191.51</v>
      </c>
      <c r="K184" s="3" t="n">
        <v>383.02</v>
      </c>
      <c r="L184" s="3" t="n">
        <v>210.66</v>
      </c>
      <c r="M184" s="2" t="n">
        <v>172.36</v>
      </c>
      <c r="N184" s="2" t="inlineStr">
        <is>
          <t>New</t>
        </is>
      </c>
      <c r="O184" s="2" t="inlineStr">
        <is>
          <t>Offline</t>
        </is>
      </c>
      <c r="P184" s="3" t="n">
        <v>483.37</v>
      </c>
      <c r="Q184" s="3" t="n">
        <v>79.23999999999999</v>
      </c>
      <c r="R184" s="3" t="inlineStr"/>
    </row>
    <row r="185">
      <c r="A185" s="4" t="inlineStr">
        <is>
          <t>ORD-1184</t>
        </is>
      </c>
      <c r="B185" s="5" t="inlineStr">
        <is>
          <t>11-04-2024</t>
        </is>
      </c>
      <c r="C185" s="5" t="inlineStr">
        <is>
          <t>Apr-2024</t>
        </is>
      </c>
      <c r="D185" s="4" t="inlineStr">
        <is>
          <t>East</t>
        </is>
      </c>
      <c r="E185" s="4" t="inlineStr">
        <is>
          <t>Patna</t>
        </is>
      </c>
      <c r="F185" s="5" t="inlineStr">
        <is>
          <t>Pooja Joshi</t>
        </is>
      </c>
      <c r="G185" s="5" t="inlineStr">
        <is>
          <t>Furniture</t>
        </is>
      </c>
      <c r="H185" s="4" t="inlineStr">
        <is>
          <t>Desk</t>
        </is>
      </c>
      <c r="I185" s="4" t="n">
        <v>18</v>
      </c>
      <c r="J185" s="5" t="n">
        <v>429.4</v>
      </c>
      <c r="K185" s="5" t="n">
        <v>7729.2</v>
      </c>
      <c r="L185" s="5" t="n">
        <v>4251.06</v>
      </c>
      <c r="M185" s="4" t="n">
        <v>3478.14</v>
      </c>
      <c r="N185" s="4" t="inlineStr">
        <is>
          <t>Existing</t>
        </is>
      </c>
      <c r="O185" s="4" t="inlineStr">
        <is>
          <t>Online</t>
        </is>
      </c>
      <c r="P185" s="5" t="n">
        <v>6605.48</v>
      </c>
      <c r="Q185" s="5" t="n">
        <v>117.01</v>
      </c>
      <c r="R185" s="5" t="inlineStr"/>
    </row>
    <row r="186">
      <c r="A186" s="2" t="inlineStr">
        <is>
          <t>ORD-1185</t>
        </is>
      </c>
      <c r="B186" s="3" t="inlineStr">
        <is>
          <t>11-04-2024</t>
        </is>
      </c>
      <c r="C186" s="3" t="inlineStr">
        <is>
          <t>Apr-2024</t>
        </is>
      </c>
      <c r="D186" s="2" t="inlineStr">
        <is>
          <t>South</t>
        </is>
      </c>
      <c r="E186" s="2" t="inlineStr">
        <is>
          <t>Chennai</t>
        </is>
      </c>
      <c r="F186" s="3" t="inlineStr">
        <is>
          <t>Rahul Sharma</t>
        </is>
      </c>
      <c r="G186" s="3" t="inlineStr">
        <is>
          <t>Furniture</t>
        </is>
      </c>
      <c r="H186" s="2" t="inlineStr">
        <is>
          <t>Desk</t>
        </is>
      </c>
      <c r="I186" s="2" t="n">
        <v>2</v>
      </c>
      <c r="J186" s="3" t="n">
        <v>414.02</v>
      </c>
      <c r="K186" s="3" t="n">
        <v>828.04</v>
      </c>
      <c r="L186" s="3" t="n">
        <v>455.42</v>
      </c>
      <c r="M186" s="2" t="n">
        <v>372.62</v>
      </c>
      <c r="N186" s="2" t="inlineStr">
        <is>
          <t>Existing</t>
        </is>
      </c>
      <c r="O186" s="2" t="inlineStr">
        <is>
          <t>Offline</t>
        </is>
      </c>
      <c r="P186" s="3" t="n">
        <v>704.0599999999999</v>
      </c>
      <c r="Q186" s="3" t="n">
        <v>117.61</v>
      </c>
      <c r="R186" s="3" t="inlineStr"/>
    </row>
    <row r="187">
      <c r="A187" s="4" t="inlineStr">
        <is>
          <t>ORD-1186</t>
        </is>
      </c>
      <c r="B187" s="5" t="inlineStr">
        <is>
          <t>12-04-2024</t>
        </is>
      </c>
      <c r="C187" s="5" t="inlineStr">
        <is>
          <t>Apr-2024</t>
        </is>
      </c>
      <c r="D187" s="4" t="inlineStr">
        <is>
          <t>North</t>
        </is>
      </c>
      <c r="E187" s="4" t="inlineStr">
        <is>
          <t>Lucknow</t>
        </is>
      </c>
      <c r="F187" s="5" t="inlineStr">
        <is>
          <t>Arjun Mehta</t>
        </is>
      </c>
      <c r="G187" s="5" t="inlineStr">
        <is>
          <t>Software</t>
        </is>
      </c>
      <c r="H187" s="4" t="inlineStr">
        <is>
          <t>HR System</t>
        </is>
      </c>
      <c r="I187" s="4" t="n">
        <v>16</v>
      </c>
      <c r="J187" s="5" t="n">
        <v>2060.22</v>
      </c>
      <c r="K187" s="5" t="n">
        <v>32963.52</v>
      </c>
      <c r="L187" s="5" t="n">
        <v>9889.059999999999</v>
      </c>
      <c r="M187" s="4" t="n">
        <v>23074.46</v>
      </c>
      <c r="N187" s="4" t="inlineStr">
        <is>
          <t>Existing</t>
        </is>
      </c>
      <c r="O187" s="4" t="inlineStr">
        <is>
          <t>Offline</t>
        </is>
      </c>
      <c r="P187" s="5" t="n">
        <v>31074.96</v>
      </c>
      <c r="Q187" s="5" t="n">
        <v>106.08</v>
      </c>
      <c r="R187" s="5" t="inlineStr"/>
    </row>
    <row r="188">
      <c r="A188" s="2" t="inlineStr">
        <is>
          <t>ORD-1187</t>
        </is>
      </c>
      <c r="B188" s="3" t="inlineStr">
        <is>
          <t>13-04-2024</t>
        </is>
      </c>
      <c r="C188" s="3" t="inlineStr">
        <is>
          <t>Apr-2024</t>
        </is>
      </c>
      <c r="D188" s="2" t="inlineStr">
        <is>
          <t>North</t>
        </is>
      </c>
      <c r="E188" s="2" t="inlineStr">
        <is>
          <t>Lucknow</t>
        </is>
      </c>
      <c r="F188" s="3" t="inlineStr">
        <is>
          <t>Kavita Rao</t>
        </is>
      </c>
      <c r="G188" s="3" t="inlineStr">
        <is>
          <t>Furniture</t>
        </is>
      </c>
      <c r="H188" s="2" t="inlineStr">
        <is>
          <t>Office Chair</t>
        </is>
      </c>
      <c r="I188" s="2" t="n">
        <v>6</v>
      </c>
      <c r="J188" s="3" t="n">
        <v>344.25</v>
      </c>
      <c r="K188" s="3" t="n">
        <v>2065.5</v>
      </c>
      <c r="L188" s="3" t="n">
        <v>1136.03</v>
      </c>
      <c r="M188" s="2" t="n">
        <v>929.47</v>
      </c>
      <c r="N188" s="2" t="inlineStr">
        <is>
          <t>New</t>
        </is>
      </c>
      <c r="O188" s="2" t="inlineStr">
        <is>
          <t>Online</t>
        </is>
      </c>
      <c r="P188" s="3" t="n">
        <v>2682.23</v>
      </c>
      <c r="Q188" s="3" t="n">
        <v>77.01000000000001</v>
      </c>
      <c r="R188" s="3" t="inlineStr"/>
    </row>
    <row r="189">
      <c r="A189" s="4" t="inlineStr">
        <is>
          <t>ORD-1188</t>
        </is>
      </c>
      <c r="B189" s="5" t="inlineStr">
        <is>
          <t>14-04-2024</t>
        </is>
      </c>
      <c r="C189" s="5" t="inlineStr">
        <is>
          <t>Apr-2024</t>
        </is>
      </c>
      <c r="D189" s="4" t="inlineStr">
        <is>
          <t>West</t>
        </is>
      </c>
      <c r="E189" s="4" t="inlineStr">
        <is>
          <t>Mumbai</t>
        </is>
      </c>
      <c r="F189" s="5" t="inlineStr">
        <is>
          <t>Vikram Singh</t>
        </is>
      </c>
      <c r="G189" s="5" t="inlineStr">
        <is>
          <t>Electronics</t>
        </is>
      </c>
      <c r="H189" s="4" t="inlineStr">
        <is>
          <t>Laptop</t>
        </is>
      </c>
      <c r="I189" s="4" t="n">
        <v>10</v>
      </c>
      <c r="J189" s="5" t="n">
        <v>1216.31</v>
      </c>
      <c r="K189" s="5" t="n">
        <v>12163.1</v>
      </c>
      <c r="L189" s="5" t="n">
        <v>7297.86</v>
      </c>
      <c r="M189" s="4" t="n">
        <v>4865.24</v>
      </c>
      <c r="N189" s="4" t="inlineStr">
        <is>
          <t>New</t>
        </is>
      </c>
      <c r="O189" s="4" t="inlineStr">
        <is>
          <t>Offline</t>
        </is>
      </c>
      <c r="P189" s="5" t="n">
        <v>11461.06</v>
      </c>
      <c r="Q189" s="5" t="n">
        <v>106.13</v>
      </c>
      <c r="R189" s="5" t="inlineStr"/>
    </row>
    <row r="190">
      <c r="A190" s="2" t="inlineStr">
        <is>
          <t>ORD-1189</t>
        </is>
      </c>
      <c r="B190" s="3" t="inlineStr">
        <is>
          <t>15-04-2024</t>
        </is>
      </c>
      <c r="C190" s="3" t="inlineStr">
        <is>
          <t>Apr-2024</t>
        </is>
      </c>
      <c r="D190" s="2" t="inlineStr">
        <is>
          <t>West</t>
        </is>
      </c>
      <c r="E190" s="2" t="inlineStr">
        <is>
          <t>Mumbai</t>
        </is>
      </c>
      <c r="F190" s="3" t="inlineStr">
        <is>
          <t>Ravi Verma</t>
        </is>
      </c>
      <c r="G190" s="3" t="inlineStr">
        <is>
          <t>Software</t>
        </is>
      </c>
      <c r="H190" s="2" t="inlineStr">
        <is>
          <t>Analytics Pro</t>
        </is>
      </c>
      <c r="I190" s="2" t="n">
        <v>7</v>
      </c>
      <c r="J190" s="3" t="n">
        <v>2654.41</v>
      </c>
      <c r="K190" s="3" t="n">
        <v>18580.87</v>
      </c>
      <c r="L190" s="3" t="n">
        <v>5574.26</v>
      </c>
      <c r="M190" s="2" t="n">
        <v>13006.61</v>
      </c>
      <c r="N190" s="2" t="inlineStr">
        <is>
          <t>Existing</t>
        </is>
      </c>
      <c r="O190" s="2" t="inlineStr">
        <is>
          <t>Online</t>
        </is>
      </c>
      <c r="P190" s="3" t="n">
        <v>21657.11</v>
      </c>
      <c r="Q190" s="3" t="n">
        <v>85.8</v>
      </c>
      <c r="R190" s="3" t="inlineStr"/>
    </row>
    <row r="191">
      <c r="A191" s="4" t="inlineStr">
        <is>
          <t>ORD-1190</t>
        </is>
      </c>
      <c r="B191" s="5" t="inlineStr">
        <is>
          <t>15-04-2024</t>
        </is>
      </c>
      <c r="C191" s="5" t="inlineStr">
        <is>
          <t>Apr-2024</t>
        </is>
      </c>
      <c r="D191" s="4" t="inlineStr">
        <is>
          <t>East</t>
        </is>
      </c>
      <c r="E191" s="4" t="inlineStr">
        <is>
          <t>Patna</t>
        </is>
      </c>
      <c r="F191" s="5" t="inlineStr">
        <is>
          <t>Arjun Mehta</t>
        </is>
      </c>
      <c r="G191" s="5" t="inlineStr">
        <is>
          <t>Electronics</t>
        </is>
      </c>
      <c r="H191" s="4" t="inlineStr">
        <is>
          <t>Tablet</t>
        </is>
      </c>
      <c r="I191" s="4" t="n">
        <v>10</v>
      </c>
      <c r="J191" s="5" t="n">
        <v>608.13</v>
      </c>
      <c r="K191" s="5" t="n">
        <v>6081.3</v>
      </c>
      <c r="L191" s="5" t="n">
        <v>3648.78</v>
      </c>
      <c r="M191" s="4" t="n">
        <v>2432.52</v>
      </c>
      <c r="N191" s="4" t="inlineStr">
        <is>
          <t>New</t>
        </is>
      </c>
      <c r="O191" s="4" t="inlineStr">
        <is>
          <t>Online</t>
        </is>
      </c>
      <c r="P191" s="5" t="n">
        <v>6722.74</v>
      </c>
      <c r="Q191" s="5" t="n">
        <v>90.45999999999999</v>
      </c>
      <c r="R191" s="5" t="inlineStr"/>
    </row>
    <row r="192">
      <c r="A192" s="2" t="inlineStr">
        <is>
          <t>ORD-1191</t>
        </is>
      </c>
      <c r="B192" s="3" t="inlineStr">
        <is>
          <t>15-04-2024</t>
        </is>
      </c>
      <c r="C192" s="3" t="inlineStr">
        <is>
          <t>Apr-2024</t>
        </is>
      </c>
      <c r="D192" s="2" t="inlineStr">
        <is>
          <t>West</t>
        </is>
      </c>
      <c r="E192" s="2" t="inlineStr">
        <is>
          <t>Ahmedabad</t>
        </is>
      </c>
      <c r="F192" s="3" t="inlineStr">
        <is>
          <t>Ravi Verma</t>
        </is>
      </c>
      <c r="G192" s="3" t="inlineStr">
        <is>
          <t>Apparel</t>
        </is>
      </c>
      <c r="H192" s="2" t="inlineStr">
        <is>
          <t>Jacket</t>
        </is>
      </c>
      <c r="I192" s="2" t="n">
        <v>13</v>
      </c>
      <c r="J192" s="3" t="n">
        <v>124.06</v>
      </c>
      <c r="K192" s="3" t="n">
        <v>1612.78</v>
      </c>
      <c r="L192" s="3" t="n">
        <v>725.75</v>
      </c>
      <c r="M192" s="2" t="n">
        <v>887.03</v>
      </c>
      <c r="N192" s="2" t="inlineStr">
        <is>
          <t>New</t>
        </is>
      </c>
      <c r="O192" s="2" t="inlineStr">
        <is>
          <t>Online</t>
        </is>
      </c>
      <c r="P192" s="3" t="n">
        <v>1675.24</v>
      </c>
      <c r="Q192" s="3" t="n">
        <v>96.27</v>
      </c>
      <c r="R192" s="3" t="inlineStr"/>
    </row>
    <row r="193">
      <c r="A193" s="4" t="inlineStr">
        <is>
          <t>ORD-1192</t>
        </is>
      </c>
      <c r="B193" s="5" t="inlineStr">
        <is>
          <t>16-04-2024</t>
        </is>
      </c>
      <c r="C193" s="5" t="inlineStr">
        <is>
          <t>Apr-2024</t>
        </is>
      </c>
      <c r="D193" s="4" t="inlineStr">
        <is>
          <t>North</t>
        </is>
      </c>
      <c r="E193" s="4" t="inlineStr">
        <is>
          <t>Chandigarh</t>
        </is>
      </c>
      <c r="F193" s="5" t="inlineStr">
        <is>
          <t>Amit Kumar</t>
        </is>
      </c>
      <c r="G193" s="5" t="inlineStr">
        <is>
          <t>Furniture</t>
        </is>
      </c>
      <c r="H193" s="4" t="inlineStr">
        <is>
          <t>Cabinet</t>
        </is>
      </c>
      <c r="I193" s="4" t="n">
        <v>9</v>
      </c>
      <c r="J193" s="5" t="n">
        <v>327.24</v>
      </c>
      <c r="K193" s="5" t="n">
        <v>2945.16</v>
      </c>
      <c r="L193" s="5" t="n">
        <v>1619.84</v>
      </c>
      <c r="M193" s="4" t="n">
        <v>1325.32</v>
      </c>
      <c r="N193" s="4" t="inlineStr">
        <is>
          <t>Existing</t>
        </is>
      </c>
      <c r="O193" s="4" t="inlineStr">
        <is>
          <t>Online</t>
        </is>
      </c>
      <c r="P193" s="5" t="n">
        <v>2741.29</v>
      </c>
      <c r="Q193" s="5" t="n">
        <v>107.44</v>
      </c>
      <c r="R193" s="5" t="inlineStr"/>
    </row>
    <row r="194">
      <c r="A194" s="2" t="inlineStr">
        <is>
          <t>ORD-1193</t>
        </is>
      </c>
      <c r="B194" s="3" t="inlineStr">
        <is>
          <t>17-04-2024</t>
        </is>
      </c>
      <c r="C194" s="3" t="inlineStr">
        <is>
          <t>Apr-2024</t>
        </is>
      </c>
      <c r="D194" s="2" t="inlineStr">
        <is>
          <t>South</t>
        </is>
      </c>
      <c r="E194" s="2" t="inlineStr">
        <is>
          <t>Chennai</t>
        </is>
      </c>
      <c r="F194" s="3" t="inlineStr">
        <is>
          <t>Priya Patel</t>
        </is>
      </c>
      <c r="G194" s="3" t="inlineStr">
        <is>
          <t>Software</t>
        </is>
      </c>
      <c r="H194" s="2" t="inlineStr">
        <is>
          <t>Analytics Pro</t>
        </is>
      </c>
      <c r="I194" s="2" t="n">
        <v>6</v>
      </c>
      <c r="J194" s="3" t="n">
        <v>2452.71</v>
      </c>
      <c r="K194" s="3" t="n">
        <v>14716.26</v>
      </c>
      <c r="L194" s="3" t="n">
        <v>4414.88</v>
      </c>
      <c r="M194" s="2" t="n">
        <v>10301.38</v>
      </c>
      <c r="N194" s="2" t="inlineStr">
        <is>
          <t>Existing</t>
        </is>
      </c>
      <c r="O194" s="2" t="inlineStr">
        <is>
          <t>Online</t>
        </is>
      </c>
      <c r="P194" s="3" t="n">
        <v>16472.73</v>
      </c>
      <c r="Q194" s="3" t="n">
        <v>89.34</v>
      </c>
      <c r="R194" s="3" t="inlineStr"/>
    </row>
    <row r="195">
      <c r="A195" s="4" t="inlineStr">
        <is>
          <t>ORD-1194</t>
        </is>
      </c>
      <c r="B195" s="5" t="inlineStr">
        <is>
          <t>17-04-2024</t>
        </is>
      </c>
      <c r="C195" s="5" t="inlineStr">
        <is>
          <t>Apr-2024</t>
        </is>
      </c>
      <c r="D195" s="4" t="inlineStr">
        <is>
          <t>East</t>
        </is>
      </c>
      <c r="E195" s="4" t="inlineStr">
        <is>
          <t>Bhubaneswar</t>
        </is>
      </c>
      <c r="F195" s="5" t="inlineStr">
        <is>
          <t>Kavita Rao</t>
        </is>
      </c>
      <c r="G195" s="5" t="inlineStr">
        <is>
          <t>Furniture</t>
        </is>
      </c>
      <c r="H195" s="4" t="inlineStr">
        <is>
          <t>Desk</t>
        </is>
      </c>
      <c r="I195" s="4" t="n">
        <v>5</v>
      </c>
      <c r="J195" s="5" t="n">
        <v>448.04</v>
      </c>
      <c r="K195" s="5" t="n">
        <v>2240.2</v>
      </c>
      <c r="L195" s="5" t="n">
        <v>1232.11</v>
      </c>
      <c r="M195" s="4" t="n">
        <v>1008.09</v>
      </c>
      <c r="N195" s="4" t="inlineStr">
        <is>
          <t>Existing</t>
        </is>
      </c>
      <c r="O195" s="4" t="inlineStr">
        <is>
          <t>Offline</t>
        </is>
      </c>
      <c r="P195" s="5" t="n">
        <v>2257.95</v>
      </c>
      <c r="Q195" s="5" t="n">
        <v>99.20999999999999</v>
      </c>
      <c r="R195" s="5" t="inlineStr"/>
    </row>
    <row r="196">
      <c r="A196" s="2" t="inlineStr">
        <is>
          <t>ORD-1195</t>
        </is>
      </c>
      <c r="B196" s="3" t="inlineStr">
        <is>
          <t>18-04-2024</t>
        </is>
      </c>
      <c r="C196" s="3" t="inlineStr">
        <is>
          <t>Apr-2024</t>
        </is>
      </c>
      <c r="D196" s="2" t="inlineStr">
        <is>
          <t>West</t>
        </is>
      </c>
      <c r="E196" s="2" t="inlineStr">
        <is>
          <t>Pune</t>
        </is>
      </c>
      <c r="F196" s="3" t="inlineStr">
        <is>
          <t>Sneha Reddy</t>
        </is>
      </c>
      <c r="G196" s="3" t="inlineStr">
        <is>
          <t>Furniture</t>
        </is>
      </c>
      <c r="H196" s="2" t="inlineStr">
        <is>
          <t>Office Chair</t>
        </is>
      </c>
      <c r="I196" s="2" t="n">
        <v>17</v>
      </c>
      <c r="J196" s="3" t="n">
        <v>346.27</v>
      </c>
      <c r="K196" s="3" t="n">
        <v>5886.59</v>
      </c>
      <c r="L196" s="3" t="n">
        <v>3237.62</v>
      </c>
      <c r="M196" s="2" t="n">
        <v>2648.97</v>
      </c>
      <c r="N196" s="2" t="inlineStr">
        <is>
          <t>Existing</t>
        </is>
      </c>
      <c r="O196" s="2" t="inlineStr">
        <is>
          <t>Online</t>
        </is>
      </c>
      <c r="P196" s="3" t="n">
        <v>7408.99</v>
      </c>
      <c r="Q196" s="3" t="n">
        <v>79.45</v>
      </c>
      <c r="R196" s="3" t="inlineStr"/>
    </row>
    <row r="197">
      <c r="A197" s="4" t="inlineStr">
        <is>
          <t>ORD-1196</t>
        </is>
      </c>
      <c r="B197" s="5" t="inlineStr">
        <is>
          <t>18-04-2024</t>
        </is>
      </c>
      <c r="C197" s="5" t="inlineStr">
        <is>
          <t>Apr-2024</t>
        </is>
      </c>
      <c r="D197" s="4" t="inlineStr">
        <is>
          <t>North</t>
        </is>
      </c>
      <c r="E197" s="4" t="inlineStr">
        <is>
          <t>Delhi</t>
        </is>
      </c>
      <c r="F197" s="5" t="inlineStr">
        <is>
          <t>Ravi Verma</t>
        </is>
      </c>
      <c r="G197" s="5" t="inlineStr">
        <is>
          <t>Furniture</t>
        </is>
      </c>
      <c r="H197" s="4" t="inlineStr">
        <is>
          <t>Desk</t>
        </is>
      </c>
      <c r="I197" s="4" t="n">
        <v>6</v>
      </c>
      <c r="J197" s="5" t="n">
        <v>434.53</v>
      </c>
      <c r="K197" s="5" t="n">
        <v>2607.18</v>
      </c>
      <c r="L197" s="5" t="n">
        <v>1433.95</v>
      </c>
      <c r="M197" s="4" t="n">
        <v>1173.23</v>
      </c>
      <c r="N197" s="4" t="inlineStr">
        <is>
          <t>Existing</t>
        </is>
      </c>
      <c r="O197" s="4" t="inlineStr">
        <is>
          <t>Online</t>
        </is>
      </c>
      <c r="P197" s="5" t="n">
        <v>2972.57</v>
      </c>
      <c r="Q197" s="5" t="n">
        <v>87.70999999999999</v>
      </c>
      <c r="R197" s="5" t="inlineStr"/>
    </row>
    <row r="198">
      <c r="A198" s="2" t="inlineStr">
        <is>
          <t>ORD-1197</t>
        </is>
      </c>
      <c r="B198" s="3" t="inlineStr">
        <is>
          <t>18-04-2024</t>
        </is>
      </c>
      <c r="C198" s="3" t="inlineStr">
        <is>
          <t>Apr-2024</t>
        </is>
      </c>
      <c r="D198" s="2" t="inlineStr">
        <is>
          <t>West</t>
        </is>
      </c>
      <c r="E198" s="2" t="inlineStr">
        <is>
          <t>Mumbai</t>
        </is>
      </c>
      <c r="F198" s="3" t="inlineStr">
        <is>
          <t>Ravi Verma</t>
        </is>
      </c>
      <c r="G198" s="3" t="inlineStr">
        <is>
          <t>Software</t>
        </is>
      </c>
      <c r="H198" s="2" t="inlineStr">
        <is>
          <t>ERP Suite</t>
        </is>
      </c>
      <c r="I198" s="2" t="n">
        <v>15</v>
      </c>
      <c r="J198" s="3" t="n">
        <v>4631.94</v>
      </c>
      <c r="K198" s="3" t="n">
        <v>69479.10000000001</v>
      </c>
      <c r="L198" s="3" t="n">
        <v>20843.73</v>
      </c>
      <c r="M198" s="2" t="n">
        <v>48635.37</v>
      </c>
      <c r="N198" s="2" t="inlineStr">
        <is>
          <t>Existing</t>
        </is>
      </c>
      <c r="O198" s="2" t="inlineStr">
        <is>
          <t>Offline</t>
        </is>
      </c>
      <c r="P198" s="3" t="n">
        <v>75173.3</v>
      </c>
      <c r="Q198" s="3" t="n">
        <v>92.43000000000001</v>
      </c>
      <c r="R198" s="3" t="inlineStr"/>
    </row>
    <row r="199">
      <c r="A199" s="4" t="inlineStr">
        <is>
          <t>ORD-1198</t>
        </is>
      </c>
      <c r="B199" s="5" t="inlineStr">
        <is>
          <t>19-04-2024</t>
        </is>
      </c>
      <c r="C199" s="5" t="inlineStr">
        <is>
          <t>Apr-2024</t>
        </is>
      </c>
      <c r="D199" s="4" t="inlineStr">
        <is>
          <t>West</t>
        </is>
      </c>
      <c r="E199" s="4" t="inlineStr">
        <is>
          <t>Pune</t>
        </is>
      </c>
      <c r="F199" s="5" t="inlineStr">
        <is>
          <t>Vikram Singh</t>
        </is>
      </c>
      <c r="G199" s="5" t="inlineStr">
        <is>
          <t>Electronics</t>
        </is>
      </c>
      <c r="H199" s="4" t="inlineStr">
        <is>
          <t>Smartwatch</t>
        </is>
      </c>
      <c r="I199" s="4" t="n">
        <v>9</v>
      </c>
      <c r="J199" s="5" t="n">
        <v>318.99</v>
      </c>
      <c r="K199" s="5" t="n">
        <v>2870.91</v>
      </c>
      <c r="L199" s="5" t="n">
        <v>1722.55</v>
      </c>
      <c r="M199" s="4" t="n">
        <v>1148.36</v>
      </c>
      <c r="N199" s="4" t="inlineStr">
        <is>
          <t>New</t>
        </is>
      </c>
      <c r="O199" s="4" t="inlineStr">
        <is>
          <t>Online</t>
        </is>
      </c>
      <c r="P199" s="5" t="n">
        <v>2361.74</v>
      </c>
      <c r="Q199" s="5" t="n">
        <v>121.56</v>
      </c>
      <c r="R199" s="5" t="inlineStr"/>
    </row>
    <row r="200">
      <c r="A200" s="2" t="inlineStr">
        <is>
          <t>ORD-1199</t>
        </is>
      </c>
      <c r="B200" s="3" t="inlineStr">
        <is>
          <t>19-04-2024</t>
        </is>
      </c>
      <c r="C200" s="3" t="inlineStr">
        <is>
          <t>Apr-2024</t>
        </is>
      </c>
      <c r="D200" s="2" t="inlineStr">
        <is>
          <t>East</t>
        </is>
      </c>
      <c r="E200" s="2" t="inlineStr">
        <is>
          <t>Patna</t>
        </is>
      </c>
      <c r="F200" s="3" t="inlineStr">
        <is>
          <t>Priya Patel</t>
        </is>
      </c>
      <c r="G200" s="3" t="inlineStr">
        <is>
          <t>Electronics</t>
        </is>
      </c>
      <c r="H200" s="2" t="inlineStr">
        <is>
          <t>Laptop</t>
        </is>
      </c>
      <c r="I200" s="2" t="n">
        <v>16</v>
      </c>
      <c r="J200" s="3" t="n">
        <v>1087.62</v>
      </c>
      <c r="K200" s="3" t="n">
        <v>17401.92</v>
      </c>
      <c r="L200" s="3" t="n">
        <v>10441.15</v>
      </c>
      <c r="M200" s="2" t="n">
        <v>6960.77</v>
      </c>
      <c r="N200" s="2" t="inlineStr">
        <is>
          <t>Existing</t>
        </is>
      </c>
      <c r="O200" s="2" t="inlineStr">
        <is>
          <t>Online</t>
        </is>
      </c>
      <c r="P200" s="3" t="n">
        <v>20612.33</v>
      </c>
      <c r="Q200" s="3" t="n">
        <v>84.42</v>
      </c>
      <c r="R200" s="3" t="inlineStr"/>
    </row>
    <row r="201">
      <c r="A201" s="4" t="inlineStr">
        <is>
          <t>ORD-1200</t>
        </is>
      </c>
      <c r="B201" s="5" t="inlineStr">
        <is>
          <t>19-04-2024</t>
        </is>
      </c>
      <c r="C201" s="5" t="inlineStr">
        <is>
          <t>Apr-2024</t>
        </is>
      </c>
      <c r="D201" s="4" t="inlineStr">
        <is>
          <t>West</t>
        </is>
      </c>
      <c r="E201" s="4" t="inlineStr">
        <is>
          <t>Ahmedabad</t>
        </is>
      </c>
      <c r="F201" s="5" t="inlineStr">
        <is>
          <t>Amit Kumar</t>
        </is>
      </c>
      <c r="G201" s="5" t="inlineStr">
        <is>
          <t>Software</t>
        </is>
      </c>
      <c r="H201" s="4" t="inlineStr">
        <is>
          <t>HR System</t>
        </is>
      </c>
      <c r="I201" s="4" t="n">
        <v>13</v>
      </c>
      <c r="J201" s="5" t="n">
        <v>1832.1</v>
      </c>
      <c r="K201" s="5" t="n">
        <v>23817.3</v>
      </c>
      <c r="L201" s="5" t="n">
        <v>7145.19</v>
      </c>
      <c r="M201" s="4" t="n">
        <v>16672.11</v>
      </c>
      <c r="N201" s="4" t="inlineStr">
        <is>
          <t>New</t>
        </is>
      </c>
      <c r="O201" s="4" t="inlineStr">
        <is>
          <t>Offline</t>
        </is>
      </c>
      <c r="P201" s="5" t="n">
        <v>20466.6</v>
      </c>
      <c r="Q201" s="5" t="n">
        <v>116.37</v>
      </c>
      <c r="R201" s="5" t="inlineStr"/>
    </row>
    <row r="202">
      <c r="A202" s="2" t="inlineStr">
        <is>
          <t>ORD-1201</t>
        </is>
      </c>
      <c r="B202" s="3" t="inlineStr">
        <is>
          <t>20-04-2024</t>
        </is>
      </c>
      <c r="C202" s="3" t="inlineStr">
        <is>
          <t>Apr-2024</t>
        </is>
      </c>
      <c r="D202" s="2" t="inlineStr">
        <is>
          <t>West</t>
        </is>
      </c>
      <c r="E202" s="2" t="inlineStr">
        <is>
          <t>Pune</t>
        </is>
      </c>
      <c r="F202" s="3" t="inlineStr">
        <is>
          <t>Arjun Mehta</t>
        </is>
      </c>
      <c r="G202" s="3" t="inlineStr">
        <is>
          <t>Furniture</t>
        </is>
      </c>
      <c r="H202" s="2" t="inlineStr">
        <is>
          <t>Office Chair</t>
        </is>
      </c>
      <c r="I202" s="2" t="n">
        <v>1</v>
      </c>
      <c r="J202" s="3" t="n">
        <v>383.49</v>
      </c>
      <c r="K202" s="3" t="n">
        <v>383.49</v>
      </c>
      <c r="L202" s="3" t="n">
        <v>210.92</v>
      </c>
      <c r="M202" s="2" t="n">
        <v>172.57</v>
      </c>
      <c r="N202" s="2" t="inlineStr">
        <is>
          <t>Existing</t>
        </is>
      </c>
      <c r="O202" s="2" t="inlineStr">
        <is>
          <t>Offline</t>
        </is>
      </c>
      <c r="P202" s="3" t="n">
        <v>408.79</v>
      </c>
      <c r="Q202" s="3" t="n">
        <v>93.81</v>
      </c>
      <c r="R202" s="3" t="inlineStr"/>
    </row>
    <row r="203">
      <c r="A203" s="4" t="inlineStr">
        <is>
          <t>ORD-1202</t>
        </is>
      </c>
      <c r="B203" s="5" t="inlineStr">
        <is>
          <t>20-04-2024</t>
        </is>
      </c>
      <c r="C203" s="5" t="inlineStr">
        <is>
          <t>Apr-2024</t>
        </is>
      </c>
      <c r="D203" s="4" t="inlineStr">
        <is>
          <t>South</t>
        </is>
      </c>
      <c r="E203" s="4" t="inlineStr">
        <is>
          <t>Chennai</t>
        </is>
      </c>
      <c r="F203" s="5" t="inlineStr">
        <is>
          <t>Pooja Joshi</t>
        </is>
      </c>
      <c r="G203" s="5" t="inlineStr">
        <is>
          <t>Apparel</t>
        </is>
      </c>
      <c r="H203" s="4" t="inlineStr">
        <is>
          <t>Formal Shirt</t>
        </is>
      </c>
      <c r="I203" s="4" t="n">
        <v>9</v>
      </c>
      <c r="J203" s="5" t="n">
        <v>75.02</v>
      </c>
      <c r="K203" s="5" t="n">
        <v>675.1799999999999</v>
      </c>
      <c r="L203" s="5" t="n">
        <v>303.83</v>
      </c>
      <c r="M203" s="4" t="n">
        <v>371.35</v>
      </c>
      <c r="N203" s="4" t="inlineStr">
        <is>
          <t>New</t>
        </is>
      </c>
      <c r="O203" s="4" t="inlineStr">
        <is>
          <t>Online</t>
        </is>
      </c>
      <c r="P203" s="5" t="n">
        <v>813.42</v>
      </c>
      <c r="Q203" s="5" t="n">
        <v>83.01000000000001</v>
      </c>
      <c r="R203" s="5" t="inlineStr"/>
    </row>
    <row r="204">
      <c r="A204" s="2" t="inlineStr">
        <is>
          <t>ORD-1203</t>
        </is>
      </c>
      <c r="B204" s="3" t="inlineStr">
        <is>
          <t>20-04-2024</t>
        </is>
      </c>
      <c r="C204" s="3" t="inlineStr">
        <is>
          <t>Apr-2024</t>
        </is>
      </c>
      <c r="D204" s="2" t="inlineStr">
        <is>
          <t>West</t>
        </is>
      </c>
      <c r="E204" s="2" t="inlineStr">
        <is>
          <t>Pune</t>
        </is>
      </c>
      <c r="F204" s="3" t="inlineStr">
        <is>
          <t>Rahul Sharma</t>
        </is>
      </c>
      <c r="G204" s="3" t="inlineStr">
        <is>
          <t>Furniture</t>
        </is>
      </c>
      <c r="H204" s="2" t="inlineStr">
        <is>
          <t>Desk</t>
        </is>
      </c>
      <c r="I204" s="2" t="n">
        <v>3</v>
      </c>
      <c r="J204" s="3" t="n">
        <v>414.08</v>
      </c>
      <c r="K204" s="3" t="n">
        <v>1242.24</v>
      </c>
      <c r="L204" s="3" t="n">
        <v>683.23</v>
      </c>
      <c r="M204" s="2" t="n">
        <v>559.01</v>
      </c>
      <c r="N204" s="2" t="inlineStr">
        <is>
          <t>New</t>
        </is>
      </c>
      <c r="O204" s="2" t="inlineStr">
        <is>
          <t>Offline</t>
        </is>
      </c>
      <c r="P204" s="3" t="n">
        <v>1365.09</v>
      </c>
      <c r="Q204" s="3" t="n">
        <v>91</v>
      </c>
      <c r="R204" s="3" t="inlineStr"/>
    </row>
    <row r="205">
      <c r="A205" s="4" t="inlineStr">
        <is>
          <t>ORD-1204</t>
        </is>
      </c>
      <c r="B205" s="5" t="inlineStr">
        <is>
          <t>22-04-2024</t>
        </is>
      </c>
      <c r="C205" s="5" t="inlineStr">
        <is>
          <t>Apr-2024</t>
        </is>
      </c>
      <c r="D205" s="4" t="inlineStr">
        <is>
          <t>North</t>
        </is>
      </c>
      <c r="E205" s="4" t="inlineStr">
        <is>
          <t>Chandigarh</t>
        </is>
      </c>
      <c r="F205" s="5" t="inlineStr">
        <is>
          <t>Pooja Joshi</t>
        </is>
      </c>
      <c r="G205" s="5" t="inlineStr">
        <is>
          <t>Furniture</t>
        </is>
      </c>
      <c r="H205" s="4" t="inlineStr">
        <is>
          <t>Desk</t>
        </is>
      </c>
      <c r="I205" s="4" t="n">
        <v>2</v>
      </c>
      <c r="J205" s="5" t="n">
        <v>417.61</v>
      </c>
      <c r="K205" s="5" t="n">
        <v>835.22</v>
      </c>
      <c r="L205" s="5" t="n">
        <v>459.37</v>
      </c>
      <c r="M205" s="4" t="n">
        <v>375.85</v>
      </c>
      <c r="N205" s="4" t="inlineStr">
        <is>
          <t>Existing</t>
        </is>
      </c>
      <c r="O205" s="4" t="inlineStr">
        <is>
          <t>Online</t>
        </is>
      </c>
      <c r="P205" s="5" t="n">
        <v>1008.86</v>
      </c>
      <c r="Q205" s="5" t="n">
        <v>82.79000000000001</v>
      </c>
      <c r="R205" s="5" t="inlineStr"/>
    </row>
    <row r="206">
      <c r="A206" s="2" t="inlineStr">
        <is>
          <t>ORD-1205</t>
        </is>
      </c>
      <c r="B206" s="3" t="inlineStr">
        <is>
          <t>23-04-2024</t>
        </is>
      </c>
      <c r="C206" s="3" t="inlineStr">
        <is>
          <t>Apr-2024</t>
        </is>
      </c>
      <c r="D206" s="2" t="inlineStr">
        <is>
          <t>East</t>
        </is>
      </c>
      <c r="E206" s="2" t="inlineStr">
        <is>
          <t>Patna</t>
        </is>
      </c>
      <c r="F206" s="3" t="inlineStr">
        <is>
          <t>Kavita Rao</t>
        </is>
      </c>
      <c r="G206" s="3" t="inlineStr">
        <is>
          <t>Apparel</t>
        </is>
      </c>
      <c r="H206" s="2" t="inlineStr">
        <is>
          <t>Formal Shirt</t>
        </is>
      </c>
      <c r="I206" s="2" t="n">
        <v>10</v>
      </c>
      <c r="J206" s="3" t="n">
        <v>86.02</v>
      </c>
      <c r="K206" s="3" t="n">
        <v>860.2</v>
      </c>
      <c r="L206" s="3" t="n">
        <v>387.09</v>
      </c>
      <c r="M206" s="2" t="n">
        <v>473.11</v>
      </c>
      <c r="N206" s="2" t="inlineStr">
        <is>
          <t>New</t>
        </is>
      </c>
      <c r="O206" s="2" t="inlineStr">
        <is>
          <t>Offline</t>
        </is>
      </c>
      <c r="P206" s="3" t="n">
        <v>817.41</v>
      </c>
      <c r="Q206" s="3" t="n">
        <v>105.23</v>
      </c>
      <c r="R206" s="3" t="inlineStr"/>
    </row>
    <row r="207">
      <c r="A207" s="4" t="inlineStr">
        <is>
          <t>ORD-1206</t>
        </is>
      </c>
      <c r="B207" s="5" t="inlineStr">
        <is>
          <t>23-04-2024</t>
        </is>
      </c>
      <c r="C207" s="5" t="inlineStr">
        <is>
          <t>Apr-2024</t>
        </is>
      </c>
      <c r="D207" s="4" t="inlineStr">
        <is>
          <t>North</t>
        </is>
      </c>
      <c r="E207" s="4" t="inlineStr">
        <is>
          <t>Lucknow</t>
        </is>
      </c>
      <c r="F207" s="5" t="inlineStr">
        <is>
          <t>Kavita Rao</t>
        </is>
      </c>
      <c r="G207" s="5" t="inlineStr">
        <is>
          <t>Furniture</t>
        </is>
      </c>
      <c r="H207" s="4" t="inlineStr">
        <is>
          <t>Cabinet</t>
        </is>
      </c>
      <c r="I207" s="4" t="n">
        <v>18</v>
      </c>
      <c r="J207" s="5" t="n">
        <v>299.74</v>
      </c>
      <c r="K207" s="5" t="n">
        <v>5395.32</v>
      </c>
      <c r="L207" s="5" t="n">
        <v>2967.43</v>
      </c>
      <c r="M207" s="4" t="n">
        <v>2427.89</v>
      </c>
      <c r="N207" s="4" t="inlineStr">
        <is>
          <t>Existing</t>
        </is>
      </c>
      <c r="O207" s="4" t="inlineStr">
        <is>
          <t>Offline</t>
        </is>
      </c>
      <c r="P207" s="5" t="n">
        <v>6436.09</v>
      </c>
      <c r="Q207" s="5" t="n">
        <v>83.83</v>
      </c>
      <c r="R207" s="5" t="inlineStr"/>
    </row>
    <row r="208">
      <c r="A208" s="2" t="inlineStr">
        <is>
          <t>ORD-1207</t>
        </is>
      </c>
      <c r="B208" s="3" t="inlineStr">
        <is>
          <t>23-04-2024</t>
        </is>
      </c>
      <c r="C208" s="3" t="inlineStr">
        <is>
          <t>Apr-2024</t>
        </is>
      </c>
      <c r="D208" s="2" t="inlineStr">
        <is>
          <t>East</t>
        </is>
      </c>
      <c r="E208" s="2" t="inlineStr">
        <is>
          <t>Patna</t>
        </is>
      </c>
      <c r="F208" s="3" t="inlineStr">
        <is>
          <t>Amit Kumar</t>
        </is>
      </c>
      <c r="G208" s="3" t="inlineStr">
        <is>
          <t>Software</t>
        </is>
      </c>
      <c r="H208" s="2" t="inlineStr">
        <is>
          <t>CRM Tool</t>
        </is>
      </c>
      <c r="I208" s="2" t="n">
        <v>10</v>
      </c>
      <c r="J208" s="3" t="n">
        <v>2925.88</v>
      </c>
      <c r="K208" s="3" t="n">
        <v>29258.8</v>
      </c>
      <c r="L208" s="3" t="n">
        <v>8777.639999999999</v>
      </c>
      <c r="M208" s="2" t="n">
        <v>20481.16</v>
      </c>
      <c r="N208" s="2" t="inlineStr">
        <is>
          <t>Existing</t>
        </is>
      </c>
      <c r="O208" s="2" t="inlineStr">
        <is>
          <t>Online</t>
        </is>
      </c>
      <c r="P208" s="3" t="n">
        <v>35832.39</v>
      </c>
      <c r="Q208" s="3" t="n">
        <v>81.65000000000001</v>
      </c>
      <c r="R208" s="3" t="inlineStr"/>
    </row>
    <row r="209">
      <c r="A209" s="4" t="inlineStr">
        <is>
          <t>ORD-1208</t>
        </is>
      </c>
      <c r="B209" s="5" t="inlineStr">
        <is>
          <t>24-04-2024</t>
        </is>
      </c>
      <c r="C209" s="5" t="inlineStr">
        <is>
          <t>Apr-2024</t>
        </is>
      </c>
      <c r="D209" s="4" t="inlineStr">
        <is>
          <t>South</t>
        </is>
      </c>
      <c r="E209" s="4" t="inlineStr">
        <is>
          <t>Bangalore</t>
        </is>
      </c>
      <c r="F209" s="5" t="inlineStr">
        <is>
          <t>Rahul Sharma</t>
        </is>
      </c>
      <c r="G209" s="5" t="inlineStr">
        <is>
          <t>Software</t>
        </is>
      </c>
      <c r="H209" s="4" t="inlineStr">
        <is>
          <t>HR System</t>
        </is>
      </c>
      <c r="I209" s="4" t="n">
        <v>18</v>
      </c>
      <c r="J209" s="5" t="n">
        <v>2012</v>
      </c>
      <c r="K209" s="5" t="n">
        <v>36216</v>
      </c>
      <c r="L209" s="5" t="n">
        <v>10864.8</v>
      </c>
      <c r="M209" s="4" t="n">
        <v>25351.2</v>
      </c>
      <c r="N209" s="4" t="inlineStr">
        <is>
          <t>Existing</t>
        </is>
      </c>
      <c r="O209" s="4" t="inlineStr">
        <is>
          <t>Online</t>
        </is>
      </c>
      <c r="P209" s="5" t="n">
        <v>33590.26</v>
      </c>
      <c r="Q209" s="5" t="n">
        <v>107.82</v>
      </c>
      <c r="R209" s="5" t="inlineStr"/>
    </row>
    <row r="210">
      <c r="A210" s="2" t="inlineStr">
        <is>
          <t>ORD-1209</t>
        </is>
      </c>
      <c r="B210" s="3" t="inlineStr">
        <is>
          <t>24-04-2024</t>
        </is>
      </c>
      <c r="C210" s="3" t="inlineStr">
        <is>
          <t>Apr-2024</t>
        </is>
      </c>
      <c r="D210" s="2" t="inlineStr">
        <is>
          <t>East</t>
        </is>
      </c>
      <c r="E210" s="2" t="inlineStr">
        <is>
          <t>Patna</t>
        </is>
      </c>
      <c r="F210" s="3" t="inlineStr">
        <is>
          <t>Priya Patel</t>
        </is>
      </c>
      <c r="G210" s="3" t="inlineStr">
        <is>
          <t>Software</t>
        </is>
      </c>
      <c r="H210" s="2" t="inlineStr">
        <is>
          <t>Analytics Pro</t>
        </is>
      </c>
      <c r="I210" s="2" t="n">
        <v>3</v>
      </c>
      <c r="J210" s="3" t="n">
        <v>2517.82</v>
      </c>
      <c r="K210" s="3" t="n">
        <v>7553.46</v>
      </c>
      <c r="L210" s="3" t="n">
        <v>2266.04</v>
      </c>
      <c r="M210" s="2" t="n">
        <v>5287.42</v>
      </c>
      <c r="N210" s="2" t="inlineStr">
        <is>
          <t>New</t>
        </is>
      </c>
      <c r="O210" s="2" t="inlineStr">
        <is>
          <t>Online</t>
        </is>
      </c>
      <c r="P210" s="3" t="n">
        <v>7056.67</v>
      </c>
      <c r="Q210" s="3" t="n">
        <v>107.04</v>
      </c>
      <c r="R210" s="3" t="inlineStr"/>
    </row>
    <row r="211">
      <c r="A211" s="4" t="inlineStr">
        <is>
          <t>ORD-1210</t>
        </is>
      </c>
      <c r="B211" s="5" t="inlineStr">
        <is>
          <t>25-04-2024</t>
        </is>
      </c>
      <c r="C211" s="5" t="inlineStr">
        <is>
          <t>Apr-2024</t>
        </is>
      </c>
      <c r="D211" s="4" t="inlineStr">
        <is>
          <t>North</t>
        </is>
      </c>
      <c r="E211" s="4" t="inlineStr">
        <is>
          <t>Delhi</t>
        </is>
      </c>
      <c r="F211" s="5" t="inlineStr">
        <is>
          <t>Sneha Reddy</t>
        </is>
      </c>
      <c r="G211" s="5" t="inlineStr">
        <is>
          <t>Furniture</t>
        </is>
      </c>
      <c r="H211" s="4" t="inlineStr">
        <is>
          <t>Cabinet</t>
        </is>
      </c>
      <c r="I211" s="4" t="n">
        <v>7</v>
      </c>
      <c r="J211" s="5" t="n">
        <v>322.17</v>
      </c>
      <c r="K211" s="5" t="n">
        <v>2255.19</v>
      </c>
      <c r="L211" s="5" t="n">
        <v>1240.35</v>
      </c>
      <c r="M211" s="4" t="n">
        <v>1014.84</v>
      </c>
      <c r="N211" s="4" t="inlineStr">
        <is>
          <t>Existing</t>
        </is>
      </c>
      <c r="O211" s="4" t="inlineStr">
        <is>
          <t>Offline</t>
        </is>
      </c>
      <c r="P211" s="5" t="n">
        <v>2883.28</v>
      </c>
      <c r="Q211" s="5" t="n">
        <v>78.22</v>
      </c>
      <c r="R211" s="5" t="inlineStr"/>
    </row>
    <row r="212">
      <c r="A212" s="2" t="inlineStr">
        <is>
          <t>ORD-1211</t>
        </is>
      </c>
      <c r="B212" s="3" t="inlineStr">
        <is>
          <t>25-04-2024</t>
        </is>
      </c>
      <c r="C212" s="3" t="inlineStr">
        <is>
          <t>Apr-2024</t>
        </is>
      </c>
      <c r="D212" s="2" t="inlineStr">
        <is>
          <t>North</t>
        </is>
      </c>
      <c r="E212" s="2" t="inlineStr">
        <is>
          <t>Delhi</t>
        </is>
      </c>
      <c r="F212" s="3" t="inlineStr">
        <is>
          <t>Sneha Reddy</t>
        </is>
      </c>
      <c r="G212" s="3" t="inlineStr">
        <is>
          <t>Electronics</t>
        </is>
      </c>
      <c r="H212" s="2" t="inlineStr">
        <is>
          <t>Smartwatch</t>
        </is>
      </c>
      <c r="I212" s="2" t="n">
        <v>8</v>
      </c>
      <c r="J212" s="3" t="n">
        <v>311.74</v>
      </c>
      <c r="K212" s="3" t="n">
        <v>2493.92</v>
      </c>
      <c r="L212" s="3" t="n">
        <v>1496.35</v>
      </c>
      <c r="M212" s="2" t="n">
        <v>997.5700000000001</v>
      </c>
      <c r="N212" s="2" t="inlineStr">
        <is>
          <t>New</t>
        </is>
      </c>
      <c r="O212" s="2" t="inlineStr">
        <is>
          <t>Offline</t>
        </is>
      </c>
      <c r="P212" s="3" t="n">
        <v>3136.26</v>
      </c>
      <c r="Q212" s="3" t="n">
        <v>79.52</v>
      </c>
      <c r="R212" s="3" t="inlineStr"/>
    </row>
    <row r="213">
      <c r="A213" s="4" t="inlineStr">
        <is>
          <t>ORD-1212</t>
        </is>
      </c>
      <c r="B213" s="5" t="inlineStr">
        <is>
          <t>25-04-2024</t>
        </is>
      </c>
      <c r="C213" s="5" t="inlineStr">
        <is>
          <t>Apr-2024</t>
        </is>
      </c>
      <c r="D213" s="4" t="inlineStr">
        <is>
          <t>East</t>
        </is>
      </c>
      <c r="E213" s="4" t="inlineStr">
        <is>
          <t>Bhubaneswar</t>
        </is>
      </c>
      <c r="F213" s="5" t="inlineStr">
        <is>
          <t>Amit Kumar</t>
        </is>
      </c>
      <c r="G213" s="5" t="inlineStr">
        <is>
          <t>Software</t>
        </is>
      </c>
      <c r="H213" s="4" t="inlineStr">
        <is>
          <t>Analytics Pro</t>
        </is>
      </c>
      <c r="I213" s="4" t="n">
        <v>10</v>
      </c>
      <c r="J213" s="5" t="n">
        <v>2380.78</v>
      </c>
      <c r="K213" s="5" t="n">
        <v>23807.8</v>
      </c>
      <c r="L213" s="5" t="n">
        <v>7142.34</v>
      </c>
      <c r="M213" s="4" t="n">
        <v>16665.46</v>
      </c>
      <c r="N213" s="4" t="inlineStr">
        <is>
          <t>Existing</t>
        </is>
      </c>
      <c r="O213" s="4" t="inlineStr">
        <is>
          <t>Offline</t>
        </is>
      </c>
      <c r="P213" s="5" t="n">
        <v>20220.06</v>
      </c>
      <c r="Q213" s="5" t="n">
        <v>117.74</v>
      </c>
      <c r="R213" s="5" t="inlineStr"/>
    </row>
    <row r="214">
      <c r="A214" s="2" t="inlineStr">
        <is>
          <t>ORD-1213</t>
        </is>
      </c>
      <c r="B214" s="3" t="inlineStr">
        <is>
          <t>26-04-2024</t>
        </is>
      </c>
      <c r="C214" s="3" t="inlineStr">
        <is>
          <t>Apr-2024</t>
        </is>
      </c>
      <c r="D214" s="2" t="inlineStr">
        <is>
          <t>West</t>
        </is>
      </c>
      <c r="E214" s="2" t="inlineStr">
        <is>
          <t>Ahmedabad</t>
        </is>
      </c>
      <c r="F214" s="3" t="inlineStr">
        <is>
          <t>Sneha Reddy</t>
        </is>
      </c>
      <c r="G214" s="3" t="inlineStr">
        <is>
          <t>Apparel</t>
        </is>
      </c>
      <c r="H214" s="2" t="inlineStr">
        <is>
          <t>T-Shirt</t>
        </is>
      </c>
      <c r="I214" s="2" t="n">
        <v>14</v>
      </c>
      <c r="J214" s="3" t="n">
        <v>36.37</v>
      </c>
      <c r="K214" s="3" t="n">
        <v>509.18</v>
      </c>
      <c r="L214" s="3" t="n">
        <v>229.13</v>
      </c>
      <c r="M214" s="2" t="n">
        <v>280.05</v>
      </c>
      <c r="N214" s="2" t="inlineStr">
        <is>
          <t>New</t>
        </is>
      </c>
      <c r="O214" s="2" t="inlineStr">
        <is>
          <t>Online</t>
        </is>
      </c>
      <c r="P214" s="3" t="n">
        <v>411.47</v>
      </c>
      <c r="Q214" s="3" t="n">
        <v>123.75</v>
      </c>
      <c r="R214" s="3" t="inlineStr"/>
    </row>
    <row r="215">
      <c r="A215" s="4" t="inlineStr">
        <is>
          <t>ORD-1214</t>
        </is>
      </c>
      <c r="B215" s="5" t="inlineStr">
        <is>
          <t>26-04-2024</t>
        </is>
      </c>
      <c r="C215" s="5" t="inlineStr">
        <is>
          <t>Apr-2024</t>
        </is>
      </c>
      <c r="D215" s="4" t="inlineStr">
        <is>
          <t>West</t>
        </is>
      </c>
      <c r="E215" s="4" t="inlineStr">
        <is>
          <t>Ahmedabad</t>
        </is>
      </c>
      <c r="F215" s="5" t="inlineStr">
        <is>
          <t>Arjun Mehta</t>
        </is>
      </c>
      <c r="G215" s="5" t="inlineStr">
        <is>
          <t>Furniture</t>
        </is>
      </c>
      <c r="H215" s="4" t="inlineStr">
        <is>
          <t>Bookshelf</t>
        </is>
      </c>
      <c r="I215" s="4" t="n">
        <v>8</v>
      </c>
      <c r="J215" s="5" t="n">
        <v>195.19</v>
      </c>
      <c r="K215" s="5" t="n">
        <v>1561.52</v>
      </c>
      <c r="L215" s="5" t="n">
        <v>858.84</v>
      </c>
      <c r="M215" s="4" t="n">
        <v>702.6799999999999</v>
      </c>
      <c r="N215" s="4" t="inlineStr">
        <is>
          <t>New</t>
        </is>
      </c>
      <c r="O215" s="4" t="inlineStr">
        <is>
          <t>Offline</t>
        </is>
      </c>
      <c r="P215" s="5" t="n">
        <v>1679.14</v>
      </c>
      <c r="Q215" s="5" t="n">
        <v>93</v>
      </c>
      <c r="R215" s="5" t="inlineStr"/>
    </row>
    <row r="216">
      <c r="A216" s="2" t="inlineStr">
        <is>
          <t>ORD-1215</t>
        </is>
      </c>
      <c r="B216" s="3" t="inlineStr">
        <is>
          <t>26-04-2024</t>
        </is>
      </c>
      <c r="C216" s="3" t="inlineStr">
        <is>
          <t>Apr-2024</t>
        </is>
      </c>
      <c r="D216" s="2" t="inlineStr">
        <is>
          <t>East</t>
        </is>
      </c>
      <c r="E216" s="2" t="inlineStr">
        <is>
          <t>Bhubaneswar</t>
        </is>
      </c>
      <c r="F216" s="3" t="inlineStr">
        <is>
          <t>Pooja Joshi</t>
        </is>
      </c>
      <c r="G216" s="3" t="inlineStr">
        <is>
          <t>Software</t>
        </is>
      </c>
      <c r="H216" s="2" t="inlineStr">
        <is>
          <t>HR System</t>
        </is>
      </c>
      <c r="I216" s="2" t="n">
        <v>6</v>
      </c>
      <c r="J216" s="3" t="n">
        <v>2093.11</v>
      </c>
      <c r="K216" s="3" t="n">
        <v>12558.66</v>
      </c>
      <c r="L216" s="3" t="n">
        <v>3767.6</v>
      </c>
      <c r="M216" s="2" t="n">
        <v>8791.059999999999</v>
      </c>
      <c r="N216" s="2" t="inlineStr">
        <is>
          <t>Existing</t>
        </is>
      </c>
      <c r="O216" s="2" t="inlineStr">
        <is>
          <t>Online</t>
        </is>
      </c>
      <c r="P216" s="3" t="n">
        <v>10925.77</v>
      </c>
      <c r="Q216" s="3" t="n">
        <v>114.95</v>
      </c>
      <c r="R216" s="3" t="inlineStr"/>
    </row>
    <row r="217">
      <c r="A217" s="4" t="inlineStr">
        <is>
          <t>ORD-1216</t>
        </is>
      </c>
      <c r="B217" s="5" t="inlineStr">
        <is>
          <t>27-04-2024</t>
        </is>
      </c>
      <c r="C217" s="5" t="inlineStr">
        <is>
          <t>Apr-2024</t>
        </is>
      </c>
      <c r="D217" s="4" t="inlineStr">
        <is>
          <t>West</t>
        </is>
      </c>
      <c r="E217" s="4" t="inlineStr">
        <is>
          <t>Mumbai</t>
        </is>
      </c>
      <c r="F217" s="5" t="inlineStr">
        <is>
          <t>Ravi Verma</t>
        </is>
      </c>
      <c r="G217" s="5" t="inlineStr">
        <is>
          <t>Electronics</t>
        </is>
      </c>
      <c r="H217" s="4" t="inlineStr">
        <is>
          <t>Laptop</t>
        </is>
      </c>
      <c r="I217" s="4" t="n">
        <v>3</v>
      </c>
      <c r="J217" s="5" t="n">
        <v>1306.85</v>
      </c>
      <c r="K217" s="5" t="n">
        <v>3920.55</v>
      </c>
      <c r="L217" s="5" t="n">
        <v>2352.33</v>
      </c>
      <c r="M217" s="4" t="n">
        <v>1568.22</v>
      </c>
      <c r="N217" s="4" t="inlineStr">
        <is>
          <t>New</t>
        </is>
      </c>
      <c r="O217" s="4" t="inlineStr">
        <is>
          <t>Online</t>
        </is>
      </c>
      <c r="P217" s="5" t="n">
        <v>3944.84</v>
      </c>
      <c r="Q217" s="5" t="n">
        <v>99.38</v>
      </c>
      <c r="R217" s="5" t="inlineStr"/>
    </row>
    <row r="218">
      <c r="A218" s="2" t="inlineStr">
        <is>
          <t>ORD-1217</t>
        </is>
      </c>
      <c r="B218" s="3" t="inlineStr">
        <is>
          <t>27-04-2024</t>
        </is>
      </c>
      <c r="C218" s="3" t="inlineStr">
        <is>
          <t>Apr-2024</t>
        </is>
      </c>
      <c r="D218" s="2" t="inlineStr">
        <is>
          <t>South</t>
        </is>
      </c>
      <c r="E218" s="2" t="inlineStr">
        <is>
          <t>Chennai</t>
        </is>
      </c>
      <c r="F218" s="3" t="inlineStr">
        <is>
          <t>Arjun Mehta</t>
        </is>
      </c>
      <c r="G218" s="3" t="inlineStr">
        <is>
          <t>Electronics</t>
        </is>
      </c>
      <c r="H218" s="2" t="inlineStr">
        <is>
          <t>Smartphone</t>
        </is>
      </c>
      <c r="I218" s="2" t="n">
        <v>17</v>
      </c>
      <c r="J218" s="3" t="n">
        <v>792.96</v>
      </c>
      <c r="K218" s="3" t="n">
        <v>13480.32</v>
      </c>
      <c r="L218" s="3" t="n">
        <v>8088.19</v>
      </c>
      <c r="M218" s="2" t="n">
        <v>5392.13</v>
      </c>
      <c r="N218" s="2" t="inlineStr">
        <is>
          <t>New</t>
        </is>
      </c>
      <c r="O218" s="2" t="inlineStr">
        <is>
          <t>Offline</t>
        </is>
      </c>
      <c r="P218" s="3" t="n">
        <v>15227.94</v>
      </c>
      <c r="Q218" s="3" t="n">
        <v>88.52</v>
      </c>
      <c r="R218" s="3" t="inlineStr"/>
    </row>
    <row r="219">
      <c r="A219" s="4" t="inlineStr">
        <is>
          <t>ORD-1218</t>
        </is>
      </c>
      <c r="B219" s="5" t="inlineStr">
        <is>
          <t>27-04-2024</t>
        </is>
      </c>
      <c r="C219" s="5" t="inlineStr">
        <is>
          <t>Apr-2024</t>
        </is>
      </c>
      <c r="D219" s="4" t="inlineStr">
        <is>
          <t>North</t>
        </is>
      </c>
      <c r="E219" s="4" t="inlineStr">
        <is>
          <t>Delhi</t>
        </is>
      </c>
      <c r="F219" s="5" t="inlineStr">
        <is>
          <t>Ravi Verma</t>
        </is>
      </c>
      <c r="G219" s="5" t="inlineStr">
        <is>
          <t>Software</t>
        </is>
      </c>
      <c r="H219" s="4" t="inlineStr">
        <is>
          <t>ERP Suite</t>
        </is>
      </c>
      <c r="I219" s="4" t="n">
        <v>1</v>
      </c>
      <c r="J219" s="5" t="n">
        <v>5029.42</v>
      </c>
      <c r="K219" s="5" t="n">
        <v>5029.42</v>
      </c>
      <c r="L219" s="5" t="n">
        <v>1508.83</v>
      </c>
      <c r="M219" s="4" t="n">
        <v>3520.59</v>
      </c>
      <c r="N219" s="4" t="inlineStr">
        <is>
          <t>Existing</t>
        </is>
      </c>
      <c r="O219" s="4" t="inlineStr">
        <is>
          <t>Offline</t>
        </is>
      </c>
      <c r="P219" s="5" t="n">
        <v>4066.64</v>
      </c>
      <c r="Q219" s="5" t="n">
        <v>123.68</v>
      </c>
      <c r="R219" s="5" t="inlineStr"/>
    </row>
    <row r="220">
      <c r="A220" s="2" t="inlineStr">
        <is>
          <t>ORD-1219</t>
        </is>
      </c>
      <c r="B220" s="3" t="inlineStr">
        <is>
          <t>28-04-2024</t>
        </is>
      </c>
      <c r="C220" s="3" t="inlineStr">
        <is>
          <t>Apr-2024</t>
        </is>
      </c>
      <c r="D220" s="2" t="inlineStr">
        <is>
          <t>South</t>
        </is>
      </c>
      <c r="E220" s="2" t="inlineStr">
        <is>
          <t>Chennai</t>
        </is>
      </c>
      <c r="F220" s="3" t="inlineStr">
        <is>
          <t>Priya Patel</t>
        </is>
      </c>
      <c r="G220" s="3" t="inlineStr">
        <is>
          <t>Furniture</t>
        </is>
      </c>
      <c r="H220" s="2" t="inlineStr">
        <is>
          <t>Desk</t>
        </is>
      </c>
      <c r="I220" s="2" t="n">
        <v>7</v>
      </c>
      <c r="J220" s="3" t="n">
        <v>460.78</v>
      </c>
      <c r="K220" s="3" t="n">
        <v>3225.46</v>
      </c>
      <c r="L220" s="3" t="n">
        <v>1774</v>
      </c>
      <c r="M220" s="2" t="n">
        <v>1451.46</v>
      </c>
      <c r="N220" s="2" t="inlineStr">
        <is>
          <t>Existing</t>
        </is>
      </c>
      <c r="O220" s="2" t="inlineStr">
        <is>
          <t>Offline</t>
        </is>
      </c>
      <c r="P220" s="3" t="n">
        <v>3011.49</v>
      </c>
      <c r="Q220" s="3" t="n">
        <v>107.11</v>
      </c>
      <c r="R220" s="3" t="inlineStr"/>
    </row>
    <row r="221">
      <c r="A221" s="4" t="inlineStr">
        <is>
          <t>ORD-1220</t>
        </is>
      </c>
      <c r="B221" s="5" t="inlineStr">
        <is>
          <t>29-04-2024</t>
        </is>
      </c>
      <c r="C221" s="5" t="inlineStr">
        <is>
          <t>Apr-2024</t>
        </is>
      </c>
      <c r="D221" s="4" t="inlineStr">
        <is>
          <t>North</t>
        </is>
      </c>
      <c r="E221" s="4" t="inlineStr">
        <is>
          <t>Chandigarh</t>
        </is>
      </c>
      <c r="F221" s="5" t="inlineStr">
        <is>
          <t>Amit Kumar</t>
        </is>
      </c>
      <c r="G221" s="5" t="inlineStr">
        <is>
          <t>Software</t>
        </is>
      </c>
      <c r="H221" s="4" t="inlineStr">
        <is>
          <t>CRM Tool</t>
        </is>
      </c>
      <c r="I221" s="4" t="n">
        <v>8</v>
      </c>
      <c r="J221" s="5" t="n">
        <v>2879.98</v>
      </c>
      <c r="K221" s="5" t="n">
        <v>23039.84</v>
      </c>
      <c r="L221" s="5" t="n">
        <v>6911.95</v>
      </c>
      <c r="M221" s="4" t="n">
        <v>16127.89</v>
      </c>
      <c r="N221" s="4" t="inlineStr">
        <is>
          <t>New</t>
        </is>
      </c>
      <c r="O221" s="4" t="inlineStr">
        <is>
          <t>Online</t>
        </is>
      </c>
      <c r="P221" s="5" t="n">
        <v>19508.99</v>
      </c>
      <c r="Q221" s="5" t="n">
        <v>118.1</v>
      </c>
      <c r="R221" s="5" t="inlineStr"/>
    </row>
    <row r="222">
      <c r="A222" s="2" t="inlineStr">
        <is>
          <t>ORD-1221</t>
        </is>
      </c>
      <c r="B222" s="3" t="inlineStr">
        <is>
          <t>29-04-2024</t>
        </is>
      </c>
      <c r="C222" s="3" t="inlineStr">
        <is>
          <t>Apr-2024</t>
        </is>
      </c>
      <c r="D222" s="2" t="inlineStr">
        <is>
          <t>West</t>
        </is>
      </c>
      <c r="E222" s="2" t="inlineStr">
        <is>
          <t>Ahmedabad</t>
        </is>
      </c>
      <c r="F222" s="3" t="inlineStr">
        <is>
          <t>Ravi Verma</t>
        </is>
      </c>
      <c r="G222" s="3" t="inlineStr">
        <is>
          <t>Software</t>
        </is>
      </c>
      <c r="H222" s="2" t="inlineStr">
        <is>
          <t>ERP Suite</t>
        </is>
      </c>
      <c r="I222" s="2" t="n">
        <v>1</v>
      </c>
      <c r="J222" s="3" t="n">
        <v>5202.85</v>
      </c>
      <c r="K222" s="3" t="n">
        <v>5202.85</v>
      </c>
      <c r="L222" s="3" t="n">
        <v>1560.86</v>
      </c>
      <c r="M222" s="2" t="n">
        <v>3641.99</v>
      </c>
      <c r="N222" s="2" t="inlineStr">
        <is>
          <t>New</t>
        </is>
      </c>
      <c r="O222" s="2" t="inlineStr">
        <is>
          <t>Offline</t>
        </is>
      </c>
      <c r="P222" s="3" t="n">
        <v>6361.34</v>
      </c>
      <c r="Q222" s="3" t="n">
        <v>81.79000000000001</v>
      </c>
      <c r="R222" s="3" t="inlineStr"/>
    </row>
    <row r="223">
      <c r="A223" s="4" t="inlineStr">
        <is>
          <t>ORD-1222</t>
        </is>
      </c>
      <c r="B223" s="5" t="inlineStr">
        <is>
          <t>30-04-2024</t>
        </is>
      </c>
      <c r="C223" s="5" t="inlineStr">
        <is>
          <t>Apr-2024</t>
        </is>
      </c>
      <c r="D223" s="4" t="inlineStr">
        <is>
          <t>East</t>
        </is>
      </c>
      <c r="E223" s="4" t="inlineStr">
        <is>
          <t>Patna</t>
        </is>
      </c>
      <c r="F223" s="5" t="inlineStr">
        <is>
          <t>Priya Patel</t>
        </is>
      </c>
      <c r="G223" s="5" t="inlineStr">
        <is>
          <t>Electronics</t>
        </is>
      </c>
      <c r="H223" s="4" t="inlineStr">
        <is>
          <t>Smartphone</t>
        </is>
      </c>
      <c r="I223" s="4" t="n">
        <v>7</v>
      </c>
      <c r="J223" s="5" t="n">
        <v>864.2</v>
      </c>
      <c r="K223" s="5" t="n">
        <v>6049.4</v>
      </c>
      <c r="L223" s="5" t="n">
        <v>3629.64</v>
      </c>
      <c r="M223" s="4" t="n">
        <v>2419.76</v>
      </c>
      <c r="N223" s="4" t="inlineStr">
        <is>
          <t>Existing</t>
        </is>
      </c>
      <c r="O223" s="4" t="inlineStr">
        <is>
          <t>Offline</t>
        </is>
      </c>
      <c r="P223" s="5" t="n">
        <v>4980.36</v>
      </c>
      <c r="Q223" s="5" t="n">
        <v>121.47</v>
      </c>
      <c r="R223" s="5" t="inlineStr"/>
    </row>
    <row r="224">
      <c r="A224" s="2" t="inlineStr">
        <is>
          <t>ORD-1223</t>
        </is>
      </c>
      <c r="B224" s="3" t="inlineStr">
        <is>
          <t>30-04-2024</t>
        </is>
      </c>
      <c r="C224" s="3" t="inlineStr">
        <is>
          <t>Apr-2024</t>
        </is>
      </c>
      <c r="D224" s="2" t="inlineStr">
        <is>
          <t>North</t>
        </is>
      </c>
      <c r="E224" s="2" t="inlineStr">
        <is>
          <t>Lucknow</t>
        </is>
      </c>
      <c r="F224" s="3" t="inlineStr">
        <is>
          <t>Vikram Singh</t>
        </is>
      </c>
      <c r="G224" s="3" t="inlineStr">
        <is>
          <t>Electronics</t>
        </is>
      </c>
      <c r="H224" s="2" t="inlineStr">
        <is>
          <t>Smartphone</t>
        </is>
      </c>
      <c r="I224" s="2" t="n">
        <v>11</v>
      </c>
      <c r="J224" s="3" t="n">
        <v>722.51</v>
      </c>
      <c r="K224" s="3" t="n">
        <v>7947.61</v>
      </c>
      <c r="L224" s="3" t="n">
        <v>4768.57</v>
      </c>
      <c r="M224" s="2" t="n">
        <v>3179.04</v>
      </c>
      <c r="N224" s="2" t="inlineStr">
        <is>
          <t>New</t>
        </is>
      </c>
      <c r="O224" s="2" t="inlineStr">
        <is>
          <t>Online</t>
        </is>
      </c>
      <c r="P224" s="3" t="n">
        <v>9347.4</v>
      </c>
      <c r="Q224" s="3" t="n">
        <v>85.02</v>
      </c>
      <c r="R224" s="3" t="inlineStr"/>
    </row>
    <row r="225">
      <c r="A225" s="4" t="inlineStr">
        <is>
          <t>ORD-1224</t>
        </is>
      </c>
      <c r="B225" s="5" t="inlineStr">
        <is>
          <t>30-04-2024</t>
        </is>
      </c>
      <c r="C225" s="5" t="inlineStr">
        <is>
          <t>Apr-2024</t>
        </is>
      </c>
      <c r="D225" s="4" t="inlineStr">
        <is>
          <t>West</t>
        </is>
      </c>
      <c r="E225" s="4" t="inlineStr">
        <is>
          <t>Mumbai</t>
        </is>
      </c>
      <c r="F225" s="5" t="inlineStr">
        <is>
          <t>Vikram Singh</t>
        </is>
      </c>
      <c r="G225" s="5" t="inlineStr">
        <is>
          <t>Furniture</t>
        </is>
      </c>
      <c r="H225" s="4" t="inlineStr">
        <is>
          <t>Desk</t>
        </is>
      </c>
      <c r="I225" s="4" t="n">
        <v>19</v>
      </c>
      <c r="J225" s="5" t="n">
        <v>480.12</v>
      </c>
      <c r="K225" s="5" t="n">
        <v>9122.280000000001</v>
      </c>
      <c r="L225" s="5" t="n">
        <v>5017.25</v>
      </c>
      <c r="M225" s="4" t="n">
        <v>4105.03</v>
      </c>
      <c r="N225" s="4" t="inlineStr">
        <is>
          <t>Existing</t>
        </is>
      </c>
      <c r="O225" s="4" t="inlineStr">
        <is>
          <t>Offline</t>
        </is>
      </c>
      <c r="P225" s="5" t="n">
        <v>9048.6</v>
      </c>
      <c r="Q225" s="5" t="n">
        <v>100.81</v>
      </c>
      <c r="R225" s="5" t="inlineStr"/>
    </row>
    <row r="226">
      <c r="A226" s="2" t="inlineStr">
        <is>
          <t>ORD-1225</t>
        </is>
      </c>
      <c r="B226" s="3" t="inlineStr">
        <is>
          <t>01-05-2024</t>
        </is>
      </c>
      <c r="C226" s="3" t="inlineStr">
        <is>
          <t>May-2024</t>
        </is>
      </c>
      <c r="D226" s="2" t="inlineStr">
        <is>
          <t>South</t>
        </is>
      </c>
      <c r="E226" s="2" t="inlineStr">
        <is>
          <t>Hyderabad</t>
        </is>
      </c>
      <c r="F226" s="3" t="inlineStr">
        <is>
          <t>Priya Patel</t>
        </is>
      </c>
      <c r="G226" s="3" t="inlineStr">
        <is>
          <t>Apparel</t>
        </is>
      </c>
      <c r="H226" s="2" t="inlineStr">
        <is>
          <t>Jacket</t>
        </is>
      </c>
      <c r="I226" s="2" t="n">
        <v>4</v>
      </c>
      <c r="J226" s="3" t="n">
        <v>118.49</v>
      </c>
      <c r="K226" s="3" t="n">
        <v>473.96</v>
      </c>
      <c r="L226" s="3" t="n">
        <v>213.28</v>
      </c>
      <c r="M226" s="2" t="n">
        <v>260.68</v>
      </c>
      <c r="N226" s="2" t="inlineStr">
        <is>
          <t>New</t>
        </is>
      </c>
      <c r="O226" s="2" t="inlineStr">
        <is>
          <t>Offline</t>
        </is>
      </c>
      <c r="P226" s="3" t="n">
        <v>522.58</v>
      </c>
      <c r="Q226" s="3" t="n">
        <v>90.7</v>
      </c>
      <c r="R226" s="3" t="inlineStr"/>
    </row>
    <row r="227">
      <c r="A227" s="4" t="inlineStr">
        <is>
          <t>ORD-1226</t>
        </is>
      </c>
      <c r="B227" s="5" t="inlineStr">
        <is>
          <t>01-05-2024</t>
        </is>
      </c>
      <c r="C227" s="5" t="inlineStr">
        <is>
          <t>May-2024</t>
        </is>
      </c>
      <c r="D227" s="4" t="inlineStr">
        <is>
          <t>West</t>
        </is>
      </c>
      <c r="E227" s="4" t="inlineStr">
        <is>
          <t>Ahmedabad</t>
        </is>
      </c>
      <c r="F227" s="5" t="inlineStr">
        <is>
          <t>Rahul Sharma</t>
        </is>
      </c>
      <c r="G227" s="5" t="inlineStr">
        <is>
          <t>Apparel</t>
        </is>
      </c>
      <c r="H227" s="4" t="inlineStr">
        <is>
          <t>Trousers</t>
        </is>
      </c>
      <c r="I227" s="4" t="n">
        <v>16</v>
      </c>
      <c r="J227" s="5" t="n">
        <v>66.19</v>
      </c>
      <c r="K227" s="5" t="n">
        <v>1059.04</v>
      </c>
      <c r="L227" s="5" t="n">
        <v>476.57</v>
      </c>
      <c r="M227" s="4" t="n">
        <v>582.47</v>
      </c>
      <c r="N227" s="4" t="inlineStr">
        <is>
          <t>Existing</t>
        </is>
      </c>
      <c r="O227" s="4" t="inlineStr">
        <is>
          <t>Offline</t>
        </is>
      </c>
      <c r="P227" s="5" t="n">
        <v>945.58</v>
      </c>
      <c r="Q227" s="5" t="n">
        <v>112</v>
      </c>
      <c r="R227" s="5" t="inlineStr"/>
    </row>
    <row r="228">
      <c r="A228" s="2" t="inlineStr">
        <is>
          <t>ORD-1227</t>
        </is>
      </c>
      <c r="B228" s="3" t="inlineStr">
        <is>
          <t>01-05-2024</t>
        </is>
      </c>
      <c r="C228" s="3" t="inlineStr">
        <is>
          <t>May-2024</t>
        </is>
      </c>
      <c r="D228" s="2" t="inlineStr">
        <is>
          <t>West</t>
        </is>
      </c>
      <c r="E228" s="2" t="inlineStr">
        <is>
          <t>Mumbai</t>
        </is>
      </c>
      <c r="F228" s="3" t="inlineStr">
        <is>
          <t>Kavita Rao</t>
        </is>
      </c>
      <c r="G228" s="3" t="inlineStr">
        <is>
          <t>Apparel</t>
        </is>
      </c>
      <c r="H228" s="2" t="inlineStr">
        <is>
          <t>Formal Shirt</t>
        </is>
      </c>
      <c r="I228" s="2" t="n">
        <v>3</v>
      </c>
      <c r="J228" s="3" t="n">
        <v>73.31</v>
      </c>
      <c r="K228" s="3" t="n">
        <v>219.93</v>
      </c>
      <c r="L228" s="3" t="n">
        <v>98.97</v>
      </c>
      <c r="M228" s="2" t="n">
        <v>120.96</v>
      </c>
      <c r="N228" s="2" t="inlineStr">
        <is>
          <t>New</t>
        </is>
      </c>
      <c r="O228" s="2" t="inlineStr">
        <is>
          <t>Offline</t>
        </is>
      </c>
      <c r="P228" s="3" t="n">
        <v>254.2</v>
      </c>
      <c r="Q228" s="3" t="n">
        <v>86.52</v>
      </c>
      <c r="R228" s="3" t="inlineStr"/>
    </row>
    <row r="229">
      <c r="A229" s="4" t="inlineStr">
        <is>
          <t>ORD-1228</t>
        </is>
      </c>
      <c r="B229" s="5" t="inlineStr">
        <is>
          <t>02-05-2024</t>
        </is>
      </c>
      <c r="C229" s="5" t="inlineStr">
        <is>
          <t>May-2024</t>
        </is>
      </c>
      <c r="D229" s="4" t="inlineStr">
        <is>
          <t>South</t>
        </is>
      </c>
      <c r="E229" s="4" t="inlineStr">
        <is>
          <t>Hyderabad</t>
        </is>
      </c>
      <c r="F229" s="5" t="inlineStr">
        <is>
          <t>Amit Kumar</t>
        </is>
      </c>
      <c r="G229" s="5" t="inlineStr">
        <is>
          <t>Apparel</t>
        </is>
      </c>
      <c r="H229" s="4" t="inlineStr">
        <is>
          <t>T-Shirt</t>
        </is>
      </c>
      <c r="I229" s="4" t="n">
        <v>4</v>
      </c>
      <c r="J229" s="5" t="n">
        <v>36.73</v>
      </c>
      <c r="K229" s="5" t="n">
        <v>146.92</v>
      </c>
      <c r="L229" s="5" t="n">
        <v>66.11</v>
      </c>
      <c r="M229" s="4" t="n">
        <v>80.81</v>
      </c>
      <c r="N229" s="4" t="inlineStr">
        <is>
          <t>Existing</t>
        </is>
      </c>
      <c r="O229" s="4" t="inlineStr">
        <is>
          <t>Offline</t>
        </is>
      </c>
      <c r="P229" s="5" t="n">
        <v>143.98</v>
      </c>
      <c r="Q229" s="5" t="n">
        <v>102.04</v>
      </c>
      <c r="R229" s="5" t="inlineStr"/>
    </row>
    <row r="230">
      <c r="A230" s="2" t="inlineStr">
        <is>
          <t>ORD-1229</t>
        </is>
      </c>
      <c r="B230" s="3" t="inlineStr">
        <is>
          <t>02-05-2024</t>
        </is>
      </c>
      <c r="C230" s="3" t="inlineStr">
        <is>
          <t>May-2024</t>
        </is>
      </c>
      <c r="D230" s="2" t="inlineStr">
        <is>
          <t>East</t>
        </is>
      </c>
      <c r="E230" s="2" t="inlineStr">
        <is>
          <t>Kolkata</t>
        </is>
      </c>
      <c r="F230" s="3" t="inlineStr">
        <is>
          <t>Arjun Mehta</t>
        </is>
      </c>
      <c r="G230" s="3" t="inlineStr">
        <is>
          <t>Electronics</t>
        </is>
      </c>
      <c r="H230" s="2" t="inlineStr">
        <is>
          <t>Smartphone</t>
        </is>
      </c>
      <c r="I230" s="2" t="n">
        <v>14</v>
      </c>
      <c r="J230" s="3" t="n">
        <v>791.8099999999999</v>
      </c>
      <c r="K230" s="3" t="n">
        <v>11085.34</v>
      </c>
      <c r="L230" s="3" t="n">
        <v>6651.2</v>
      </c>
      <c r="M230" s="2" t="n">
        <v>4434.14</v>
      </c>
      <c r="N230" s="2" t="inlineStr">
        <is>
          <t>Existing</t>
        </is>
      </c>
      <c r="O230" s="2" t="inlineStr">
        <is>
          <t>Online</t>
        </is>
      </c>
      <c r="P230" s="3" t="n">
        <v>9013.83</v>
      </c>
      <c r="Q230" s="3" t="n">
        <v>122.98</v>
      </c>
      <c r="R230" s="3" t="inlineStr"/>
    </row>
    <row r="231">
      <c r="A231" s="4" t="inlineStr">
        <is>
          <t>ORD-1230</t>
        </is>
      </c>
      <c r="B231" s="5" t="inlineStr">
        <is>
          <t>02-05-2024</t>
        </is>
      </c>
      <c r="C231" s="5" t="inlineStr">
        <is>
          <t>May-2024</t>
        </is>
      </c>
      <c r="D231" s="4" t="inlineStr">
        <is>
          <t>East</t>
        </is>
      </c>
      <c r="E231" s="4" t="inlineStr">
        <is>
          <t>Patna</t>
        </is>
      </c>
      <c r="F231" s="5" t="inlineStr">
        <is>
          <t>Priya Patel</t>
        </is>
      </c>
      <c r="G231" s="5" t="inlineStr">
        <is>
          <t>Apparel</t>
        </is>
      </c>
      <c r="H231" s="4" t="inlineStr">
        <is>
          <t>Trousers</t>
        </is>
      </c>
      <c r="I231" s="4" t="n">
        <v>1</v>
      </c>
      <c r="J231" s="5" t="n">
        <v>67.09</v>
      </c>
      <c r="K231" s="5" t="n">
        <v>67.09</v>
      </c>
      <c r="L231" s="5" t="n">
        <v>30.19</v>
      </c>
      <c r="M231" s="4" t="n">
        <v>36.9</v>
      </c>
      <c r="N231" s="4" t="inlineStr">
        <is>
          <t>Existing</t>
        </is>
      </c>
      <c r="O231" s="4" t="inlineStr">
        <is>
          <t>Online</t>
        </is>
      </c>
      <c r="P231" s="5" t="n">
        <v>77.98999999999999</v>
      </c>
      <c r="Q231" s="5" t="n">
        <v>86.02</v>
      </c>
      <c r="R231" s="5" t="inlineStr"/>
    </row>
    <row r="232">
      <c r="A232" s="2" t="inlineStr">
        <is>
          <t>ORD-1231</t>
        </is>
      </c>
      <c r="B232" s="3" t="inlineStr">
        <is>
          <t>03-05-2024</t>
        </is>
      </c>
      <c r="C232" s="3" t="inlineStr">
        <is>
          <t>May-2024</t>
        </is>
      </c>
      <c r="D232" s="2" t="inlineStr">
        <is>
          <t>South</t>
        </is>
      </c>
      <c r="E232" s="2" t="inlineStr">
        <is>
          <t>Hyderabad</t>
        </is>
      </c>
      <c r="F232" s="3" t="inlineStr">
        <is>
          <t>Ravi Verma</t>
        </is>
      </c>
      <c r="G232" s="3" t="inlineStr">
        <is>
          <t>Furniture</t>
        </is>
      </c>
      <c r="H232" s="2" t="inlineStr">
        <is>
          <t>Cabinet</t>
        </is>
      </c>
      <c r="I232" s="2" t="n">
        <v>6</v>
      </c>
      <c r="J232" s="3" t="n">
        <v>278.33</v>
      </c>
      <c r="K232" s="3" t="n">
        <v>1669.98</v>
      </c>
      <c r="L232" s="3" t="n">
        <v>918.49</v>
      </c>
      <c r="M232" s="2" t="n">
        <v>751.49</v>
      </c>
      <c r="N232" s="2" t="inlineStr">
        <is>
          <t>Existing</t>
        </is>
      </c>
      <c r="O232" s="2" t="inlineStr">
        <is>
          <t>Offline</t>
        </is>
      </c>
      <c r="P232" s="3" t="n">
        <v>1747.74</v>
      </c>
      <c r="Q232" s="3" t="n">
        <v>95.55</v>
      </c>
      <c r="R232" s="3" t="inlineStr"/>
    </row>
    <row r="233">
      <c r="A233" s="4" t="inlineStr">
        <is>
          <t>ORD-1232</t>
        </is>
      </c>
      <c r="B233" s="5" t="inlineStr">
        <is>
          <t>03-05-2024</t>
        </is>
      </c>
      <c r="C233" s="5" t="inlineStr">
        <is>
          <t>May-2024</t>
        </is>
      </c>
      <c r="D233" s="4" t="inlineStr">
        <is>
          <t>North</t>
        </is>
      </c>
      <c r="E233" s="4" t="inlineStr">
        <is>
          <t>Delhi</t>
        </is>
      </c>
      <c r="F233" s="5" t="inlineStr">
        <is>
          <t>Amit Kumar</t>
        </is>
      </c>
      <c r="G233" s="5" t="inlineStr">
        <is>
          <t>Apparel</t>
        </is>
      </c>
      <c r="H233" s="4" t="inlineStr">
        <is>
          <t>Trousers</t>
        </is>
      </c>
      <c r="I233" s="4" t="n">
        <v>10</v>
      </c>
      <c r="J233" s="5" t="n">
        <v>69.78</v>
      </c>
      <c r="K233" s="5" t="n">
        <v>697.8</v>
      </c>
      <c r="L233" s="5" t="n">
        <v>314.01</v>
      </c>
      <c r="M233" s="4" t="n">
        <v>383.79</v>
      </c>
      <c r="N233" s="4" t="inlineStr">
        <is>
          <t>New</t>
        </is>
      </c>
      <c r="O233" s="4" t="inlineStr">
        <is>
          <t>Offline</t>
        </is>
      </c>
      <c r="P233" s="5" t="n">
        <v>646.0599999999999</v>
      </c>
      <c r="Q233" s="5" t="n">
        <v>108.01</v>
      </c>
      <c r="R233" s="5" t="inlineStr"/>
    </row>
    <row r="234">
      <c r="A234" s="2" t="inlineStr">
        <is>
          <t>ORD-1233</t>
        </is>
      </c>
      <c r="B234" s="3" t="inlineStr">
        <is>
          <t>03-05-2024</t>
        </is>
      </c>
      <c r="C234" s="3" t="inlineStr">
        <is>
          <t>May-2024</t>
        </is>
      </c>
      <c r="D234" s="2" t="inlineStr">
        <is>
          <t>South</t>
        </is>
      </c>
      <c r="E234" s="2" t="inlineStr">
        <is>
          <t>Hyderabad</t>
        </is>
      </c>
      <c r="F234" s="3" t="inlineStr">
        <is>
          <t>Pooja Joshi</t>
        </is>
      </c>
      <c r="G234" s="3" t="inlineStr">
        <is>
          <t>Furniture</t>
        </is>
      </c>
      <c r="H234" s="2" t="inlineStr">
        <is>
          <t>Cabinet</t>
        </is>
      </c>
      <c r="I234" s="2" t="n">
        <v>4</v>
      </c>
      <c r="J234" s="3" t="n">
        <v>278.13</v>
      </c>
      <c r="K234" s="3" t="n">
        <v>1112.52</v>
      </c>
      <c r="L234" s="3" t="n">
        <v>611.89</v>
      </c>
      <c r="M234" s="2" t="n">
        <v>500.63</v>
      </c>
      <c r="N234" s="2" t="inlineStr">
        <is>
          <t>New</t>
        </is>
      </c>
      <c r="O234" s="2" t="inlineStr">
        <is>
          <t>Offline</t>
        </is>
      </c>
      <c r="P234" s="3" t="n">
        <v>1074.82</v>
      </c>
      <c r="Q234" s="3" t="n">
        <v>103.51</v>
      </c>
      <c r="R234" s="3" t="inlineStr"/>
    </row>
    <row r="235">
      <c r="A235" s="4" t="inlineStr">
        <is>
          <t>ORD-1234</t>
        </is>
      </c>
      <c r="B235" s="5" t="inlineStr">
        <is>
          <t>04-05-2024</t>
        </is>
      </c>
      <c r="C235" s="5" t="inlineStr">
        <is>
          <t>May-2024</t>
        </is>
      </c>
      <c r="D235" s="4" t="inlineStr">
        <is>
          <t>West</t>
        </is>
      </c>
      <c r="E235" s="4" t="inlineStr">
        <is>
          <t>Ahmedabad</t>
        </is>
      </c>
      <c r="F235" s="5" t="inlineStr">
        <is>
          <t>Pooja Joshi</t>
        </is>
      </c>
      <c r="G235" s="5" t="inlineStr">
        <is>
          <t>Apparel</t>
        </is>
      </c>
      <c r="H235" s="4" t="inlineStr">
        <is>
          <t>Trousers</t>
        </is>
      </c>
      <c r="I235" s="4" t="n">
        <v>20</v>
      </c>
      <c r="J235" s="5" t="n">
        <v>64.91</v>
      </c>
      <c r="K235" s="5" t="n">
        <v>1298.2</v>
      </c>
      <c r="L235" s="5" t="n">
        <v>584.1900000000001</v>
      </c>
      <c r="M235" s="4" t="n">
        <v>714.01</v>
      </c>
      <c r="N235" s="4" t="inlineStr">
        <is>
          <t>Existing</t>
        </is>
      </c>
      <c r="O235" s="4" t="inlineStr">
        <is>
          <t>Online</t>
        </is>
      </c>
      <c r="P235" s="5" t="n">
        <v>1349.49</v>
      </c>
      <c r="Q235" s="5" t="n">
        <v>96.2</v>
      </c>
      <c r="R235" s="5" t="inlineStr"/>
    </row>
    <row r="236">
      <c r="A236" s="2" t="inlineStr">
        <is>
          <t>ORD-1235</t>
        </is>
      </c>
      <c r="B236" s="3" t="inlineStr">
        <is>
          <t>04-05-2024</t>
        </is>
      </c>
      <c r="C236" s="3" t="inlineStr">
        <is>
          <t>May-2024</t>
        </is>
      </c>
      <c r="D236" s="2" t="inlineStr">
        <is>
          <t>South</t>
        </is>
      </c>
      <c r="E236" s="2" t="inlineStr">
        <is>
          <t>Bangalore</t>
        </is>
      </c>
      <c r="F236" s="3" t="inlineStr">
        <is>
          <t>Deepa Nair</t>
        </is>
      </c>
      <c r="G236" s="3" t="inlineStr">
        <is>
          <t>Apparel</t>
        </is>
      </c>
      <c r="H236" s="2" t="inlineStr">
        <is>
          <t>Trousers</t>
        </is>
      </c>
      <c r="I236" s="2" t="n">
        <v>19</v>
      </c>
      <c r="J236" s="3" t="n">
        <v>73.95</v>
      </c>
      <c r="K236" s="3" t="n">
        <v>1405.05</v>
      </c>
      <c r="L236" s="3" t="n">
        <v>632.27</v>
      </c>
      <c r="M236" s="2" t="n">
        <v>772.78</v>
      </c>
      <c r="N236" s="2" t="inlineStr">
        <is>
          <t>Existing</t>
        </is>
      </c>
      <c r="O236" s="2" t="inlineStr">
        <is>
          <t>Offline</t>
        </is>
      </c>
      <c r="P236" s="3" t="n">
        <v>1320.96</v>
      </c>
      <c r="Q236" s="3" t="n">
        <v>106.37</v>
      </c>
      <c r="R236" s="3" t="inlineStr"/>
    </row>
    <row r="237">
      <c r="A237" s="4" t="inlineStr">
        <is>
          <t>ORD-1236</t>
        </is>
      </c>
      <c r="B237" s="5" t="inlineStr">
        <is>
          <t>04-05-2024</t>
        </is>
      </c>
      <c r="C237" s="5" t="inlineStr">
        <is>
          <t>May-2024</t>
        </is>
      </c>
      <c r="D237" s="4" t="inlineStr">
        <is>
          <t>West</t>
        </is>
      </c>
      <c r="E237" s="4" t="inlineStr">
        <is>
          <t>Ahmedabad</t>
        </is>
      </c>
      <c r="F237" s="5" t="inlineStr">
        <is>
          <t>Priya Patel</t>
        </is>
      </c>
      <c r="G237" s="5" t="inlineStr">
        <is>
          <t>Furniture</t>
        </is>
      </c>
      <c r="H237" s="4" t="inlineStr">
        <is>
          <t>Desk</t>
        </is>
      </c>
      <c r="I237" s="4" t="n">
        <v>18</v>
      </c>
      <c r="J237" s="5" t="n">
        <v>407.42</v>
      </c>
      <c r="K237" s="5" t="n">
        <v>7333.56</v>
      </c>
      <c r="L237" s="5" t="n">
        <v>4033.46</v>
      </c>
      <c r="M237" s="4" t="n">
        <v>3300.1</v>
      </c>
      <c r="N237" s="4" t="inlineStr">
        <is>
          <t>Existing</t>
        </is>
      </c>
      <c r="O237" s="4" t="inlineStr">
        <is>
          <t>Online</t>
        </is>
      </c>
      <c r="P237" s="5" t="n">
        <v>7474.57</v>
      </c>
      <c r="Q237" s="5" t="n">
        <v>98.11</v>
      </c>
      <c r="R237" s="5" t="inlineStr"/>
    </row>
    <row r="238">
      <c r="A238" s="2" t="inlineStr">
        <is>
          <t>ORD-1237</t>
        </is>
      </c>
      <c r="B238" s="3" t="inlineStr">
        <is>
          <t>05-05-2024</t>
        </is>
      </c>
      <c r="C238" s="3" t="inlineStr">
        <is>
          <t>May-2024</t>
        </is>
      </c>
      <c r="D238" s="2" t="inlineStr">
        <is>
          <t>North</t>
        </is>
      </c>
      <c r="E238" s="2" t="inlineStr">
        <is>
          <t>Chandigarh</t>
        </is>
      </c>
      <c r="F238" s="3" t="inlineStr">
        <is>
          <t>Pooja Joshi</t>
        </is>
      </c>
      <c r="G238" s="3" t="inlineStr">
        <is>
          <t>Furniture</t>
        </is>
      </c>
      <c r="H238" s="2" t="inlineStr">
        <is>
          <t>Bookshelf</t>
        </is>
      </c>
      <c r="I238" s="2" t="n">
        <v>8</v>
      </c>
      <c r="J238" s="3" t="n">
        <v>190.11</v>
      </c>
      <c r="K238" s="3" t="n">
        <v>1520.88</v>
      </c>
      <c r="L238" s="3" t="n">
        <v>836.48</v>
      </c>
      <c r="M238" s="2" t="n">
        <v>684.4</v>
      </c>
      <c r="N238" s="2" t="inlineStr">
        <is>
          <t>New</t>
        </is>
      </c>
      <c r="O238" s="2" t="inlineStr">
        <is>
          <t>Offline</t>
        </is>
      </c>
      <c r="P238" s="3" t="n">
        <v>1816.75</v>
      </c>
      <c r="Q238" s="3" t="n">
        <v>83.70999999999999</v>
      </c>
      <c r="R238" s="3" t="inlineStr"/>
    </row>
    <row r="239">
      <c r="A239" s="4" t="inlineStr">
        <is>
          <t>ORD-1238</t>
        </is>
      </c>
      <c r="B239" s="5" t="inlineStr">
        <is>
          <t>06-05-2024</t>
        </is>
      </c>
      <c r="C239" s="5" t="inlineStr">
        <is>
          <t>May-2024</t>
        </is>
      </c>
      <c r="D239" s="4" t="inlineStr">
        <is>
          <t>West</t>
        </is>
      </c>
      <c r="E239" s="4" t="inlineStr">
        <is>
          <t>Pune</t>
        </is>
      </c>
      <c r="F239" s="5" t="inlineStr">
        <is>
          <t>Pooja Joshi</t>
        </is>
      </c>
      <c r="G239" s="5" t="inlineStr">
        <is>
          <t>Software</t>
        </is>
      </c>
      <c r="H239" s="4" t="inlineStr">
        <is>
          <t>HR System</t>
        </is>
      </c>
      <c r="I239" s="4" t="n">
        <v>18</v>
      </c>
      <c r="J239" s="5" t="n">
        <v>1814.71</v>
      </c>
      <c r="K239" s="5" t="n">
        <v>32664.78</v>
      </c>
      <c r="L239" s="5" t="n">
        <v>9799.43</v>
      </c>
      <c r="M239" s="4" t="n">
        <v>22865.35</v>
      </c>
      <c r="N239" s="4" t="inlineStr">
        <is>
          <t>Existing</t>
        </is>
      </c>
      <c r="O239" s="4" t="inlineStr">
        <is>
          <t>Online</t>
        </is>
      </c>
      <c r="P239" s="5" t="n">
        <v>27918.09</v>
      </c>
      <c r="Q239" s="5" t="n">
        <v>117</v>
      </c>
      <c r="R239" s="5" t="inlineStr"/>
    </row>
    <row r="240">
      <c r="A240" s="2" t="inlineStr">
        <is>
          <t>ORD-1239</t>
        </is>
      </c>
      <c r="B240" s="3" t="inlineStr">
        <is>
          <t>07-05-2024</t>
        </is>
      </c>
      <c r="C240" s="3" t="inlineStr">
        <is>
          <t>May-2024</t>
        </is>
      </c>
      <c r="D240" s="2" t="inlineStr">
        <is>
          <t>East</t>
        </is>
      </c>
      <c r="E240" s="2" t="inlineStr">
        <is>
          <t>Kolkata</t>
        </is>
      </c>
      <c r="F240" s="3" t="inlineStr">
        <is>
          <t>Kavita Rao</t>
        </is>
      </c>
      <c r="G240" s="3" t="inlineStr">
        <is>
          <t>Electronics</t>
        </is>
      </c>
      <c r="H240" s="2" t="inlineStr">
        <is>
          <t>Smartwatch</t>
        </is>
      </c>
      <c r="I240" s="2" t="n">
        <v>11</v>
      </c>
      <c r="J240" s="3" t="n">
        <v>327.94</v>
      </c>
      <c r="K240" s="3" t="n">
        <v>3607.34</v>
      </c>
      <c r="L240" s="3" t="n">
        <v>2164.4</v>
      </c>
      <c r="M240" s="2" t="n">
        <v>1442.94</v>
      </c>
      <c r="N240" s="2" t="inlineStr">
        <is>
          <t>Existing</t>
        </is>
      </c>
      <c r="O240" s="2" t="inlineStr">
        <is>
          <t>Online</t>
        </is>
      </c>
      <c r="P240" s="3" t="n">
        <v>2904.9</v>
      </c>
      <c r="Q240" s="3" t="n">
        <v>124.18</v>
      </c>
      <c r="R240" s="3" t="inlineStr"/>
    </row>
    <row r="241">
      <c r="A241" s="4" t="inlineStr">
        <is>
          <t>ORD-1240</t>
        </is>
      </c>
      <c r="B241" s="5" t="inlineStr">
        <is>
          <t>08-05-2024</t>
        </is>
      </c>
      <c r="C241" s="5" t="inlineStr">
        <is>
          <t>May-2024</t>
        </is>
      </c>
      <c r="D241" s="4" t="inlineStr">
        <is>
          <t>South</t>
        </is>
      </c>
      <c r="E241" s="4" t="inlineStr">
        <is>
          <t>Hyderabad</t>
        </is>
      </c>
      <c r="F241" s="5" t="inlineStr">
        <is>
          <t>Ravi Verma</t>
        </is>
      </c>
      <c r="G241" s="5" t="inlineStr">
        <is>
          <t>Furniture</t>
        </is>
      </c>
      <c r="H241" s="4" t="inlineStr">
        <is>
          <t>Cabinet</t>
        </is>
      </c>
      <c r="I241" s="4" t="n">
        <v>12</v>
      </c>
      <c r="J241" s="5" t="n">
        <v>293.47</v>
      </c>
      <c r="K241" s="5" t="n">
        <v>3521.64</v>
      </c>
      <c r="L241" s="5" t="n">
        <v>1936.9</v>
      </c>
      <c r="M241" s="4" t="n">
        <v>1584.74</v>
      </c>
      <c r="N241" s="4" t="inlineStr">
        <is>
          <t>New</t>
        </is>
      </c>
      <c r="O241" s="4" t="inlineStr">
        <is>
          <t>Offline</t>
        </is>
      </c>
      <c r="P241" s="5" t="n">
        <v>4574.09</v>
      </c>
      <c r="Q241" s="5" t="n">
        <v>76.98999999999999</v>
      </c>
      <c r="R241" s="5" t="inlineStr"/>
    </row>
    <row r="242">
      <c r="A242" s="2" t="inlineStr">
        <is>
          <t>ORD-1241</t>
        </is>
      </c>
      <c r="B242" s="3" t="inlineStr">
        <is>
          <t>08-05-2024</t>
        </is>
      </c>
      <c r="C242" s="3" t="inlineStr">
        <is>
          <t>May-2024</t>
        </is>
      </c>
      <c r="D242" s="2" t="inlineStr">
        <is>
          <t>West</t>
        </is>
      </c>
      <c r="E242" s="2" t="inlineStr">
        <is>
          <t>Mumbai</t>
        </is>
      </c>
      <c r="F242" s="3" t="inlineStr">
        <is>
          <t>Vikram Singh</t>
        </is>
      </c>
      <c r="G242" s="3" t="inlineStr">
        <is>
          <t>Software</t>
        </is>
      </c>
      <c r="H242" s="2" t="inlineStr">
        <is>
          <t>ERP Suite</t>
        </is>
      </c>
      <c r="I242" s="2" t="n">
        <v>4</v>
      </c>
      <c r="J242" s="3" t="n">
        <v>5331.32</v>
      </c>
      <c r="K242" s="3" t="n">
        <v>21325.28</v>
      </c>
      <c r="L242" s="3" t="n">
        <v>6397.58</v>
      </c>
      <c r="M242" s="2" t="n">
        <v>14927.7</v>
      </c>
      <c r="N242" s="2" t="inlineStr">
        <is>
          <t>New</t>
        </is>
      </c>
      <c r="O242" s="2" t="inlineStr">
        <is>
          <t>Offline</t>
        </is>
      </c>
      <c r="P242" s="3" t="n">
        <v>20385.8</v>
      </c>
      <c r="Q242" s="3" t="n">
        <v>104.61</v>
      </c>
      <c r="R242" s="3" t="inlineStr"/>
    </row>
    <row r="243">
      <c r="A243" s="4" t="inlineStr">
        <is>
          <t>ORD-1242</t>
        </is>
      </c>
      <c r="B243" s="5" t="inlineStr">
        <is>
          <t>09-05-2024</t>
        </is>
      </c>
      <c r="C243" s="5" t="inlineStr">
        <is>
          <t>May-2024</t>
        </is>
      </c>
      <c r="D243" s="4" t="inlineStr">
        <is>
          <t>South</t>
        </is>
      </c>
      <c r="E243" s="4" t="inlineStr">
        <is>
          <t>Hyderabad</t>
        </is>
      </c>
      <c r="F243" s="5" t="inlineStr">
        <is>
          <t>Pooja Joshi</t>
        </is>
      </c>
      <c r="G243" s="5" t="inlineStr">
        <is>
          <t>Apparel</t>
        </is>
      </c>
      <c r="H243" s="4" t="inlineStr">
        <is>
          <t>Trousers</t>
        </is>
      </c>
      <c r="I243" s="4" t="n">
        <v>4</v>
      </c>
      <c r="J243" s="5" t="n">
        <v>69.13</v>
      </c>
      <c r="K243" s="5" t="n">
        <v>276.52</v>
      </c>
      <c r="L243" s="5" t="n">
        <v>124.43</v>
      </c>
      <c r="M243" s="4" t="n">
        <v>152.09</v>
      </c>
      <c r="N243" s="4" t="inlineStr">
        <is>
          <t>Existing</t>
        </is>
      </c>
      <c r="O243" s="4" t="inlineStr">
        <is>
          <t>Offline</t>
        </is>
      </c>
      <c r="P243" s="5" t="n">
        <v>230.5</v>
      </c>
      <c r="Q243" s="5" t="n">
        <v>119.97</v>
      </c>
      <c r="R243" s="5" t="inlineStr"/>
    </row>
    <row r="244">
      <c r="A244" s="2" t="inlineStr">
        <is>
          <t>ORD-1243</t>
        </is>
      </c>
      <c r="B244" s="3" t="inlineStr">
        <is>
          <t>09-05-2024</t>
        </is>
      </c>
      <c r="C244" s="3" t="inlineStr">
        <is>
          <t>May-2024</t>
        </is>
      </c>
      <c r="D244" s="2" t="inlineStr">
        <is>
          <t>North</t>
        </is>
      </c>
      <c r="E244" s="2" t="inlineStr">
        <is>
          <t>Lucknow</t>
        </is>
      </c>
      <c r="F244" s="3" t="inlineStr">
        <is>
          <t>Priya Patel</t>
        </is>
      </c>
      <c r="G244" s="3" t="inlineStr">
        <is>
          <t>Electronics</t>
        </is>
      </c>
      <c r="H244" s="2" t="inlineStr">
        <is>
          <t>Tablet</t>
        </is>
      </c>
      <c r="I244" s="2" t="n">
        <v>4</v>
      </c>
      <c r="J244" s="3" t="n">
        <v>621.26</v>
      </c>
      <c r="K244" s="3" t="n">
        <v>2485.04</v>
      </c>
      <c r="L244" s="3" t="n">
        <v>1491.02</v>
      </c>
      <c r="M244" s="2" t="n">
        <v>994.02</v>
      </c>
      <c r="N244" s="2" t="inlineStr">
        <is>
          <t>New</t>
        </is>
      </c>
      <c r="O244" s="2" t="inlineStr">
        <is>
          <t>Online</t>
        </is>
      </c>
      <c r="P244" s="3" t="n">
        <v>2629.16</v>
      </c>
      <c r="Q244" s="3" t="n">
        <v>94.52</v>
      </c>
      <c r="R244" s="3" t="inlineStr"/>
    </row>
    <row r="245">
      <c r="A245" s="4" t="inlineStr">
        <is>
          <t>ORD-1244</t>
        </is>
      </c>
      <c r="B245" s="5" t="inlineStr">
        <is>
          <t>10-05-2024</t>
        </is>
      </c>
      <c r="C245" s="5" t="inlineStr">
        <is>
          <t>May-2024</t>
        </is>
      </c>
      <c r="D245" s="4" t="inlineStr">
        <is>
          <t>South</t>
        </is>
      </c>
      <c r="E245" s="4" t="inlineStr">
        <is>
          <t>Bangalore</t>
        </is>
      </c>
      <c r="F245" s="5" t="inlineStr">
        <is>
          <t>Ravi Verma</t>
        </is>
      </c>
      <c r="G245" s="5" t="inlineStr">
        <is>
          <t>Software</t>
        </is>
      </c>
      <c r="H245" s="4" t="inlineStr">
        <is>
          <t>HR System</t>
        </is>
      </c>
      <c r="I245" s="4" t="n">
        <v>8</v>
      </c>
      <c r="J245" s="5" t="n">
        <v>2119.1</v>
      </c>
      <c r="K245" s="5" t="n">
        <v>16952.8</v>
      </c>
      <c r="L245" s="5" t="n">
        <v>5085.84</v>
      </c>
      <c r="M245" s="4" t="n">
        <v>11866.96</v>
      </c>
      <c r="N245" s="4" t="inlineStr">
        <is>
          <t>New</t>
        </is>
      </c>
      <c r="O245" s="4" t="inlineStr">
        <is>
          <t>Online</t>
        </is>
      </c>
      <c r="P245" s="5" t="n">
        <v>18991.2</v>
      </c>
      <c r="Q245" s="5" t="n">
        <v>89.27</v>
      </c>
      <c r="R245" s="5" t="inlineStr"/>
    </row>
    <row r="246">
      <c r="A246" s="2" t="inlineStr">
        <is>
          <t>ORD-1245</t>
        </is>
      </c>
      <c r="B246" s="3" t="inlineStr">
        <is>
          <t>10-05-2024</t>
        </is>
      </c>
      <c r="C246" s="3" t="inlineStr">
        <is>
          <t>May-2024</t>
        </is>
      </c>
      <c r="D246" s="2" t="inlineStr">
        <is>
          <t>West</t>
        </is>
      </c>
      <c r="E246" s="2" t="inlineStr">
        <is>
          <t>Ahmedabad</t>
        </is>
      </c>
      <c r="F246" s="3" t="inlineStr">
        <is>
          <t>Rahul Sharma</t>
        </is>
      </c>
      <c r="G246" s="3" t="inlineStr">
        <is>
          <t>Furniture</t>
        </is>
      </c>
      <c r="H246" s="2" t="inlineStr">
        <is>
          <t>Cabinet</t>
        </is>
      </c>
      <c r="I246" s="2" t="n">
        <v>19</v>
      </c>
      <c r="J246" s="3" t="n">
        <v>295.77</v>
      </c>
      <c r="K246" s="3" t="n">
        <v>5619.63</v>
      </c>
      <c r="L246" s="3" t="n">
        <v>3090.8</v>
      </c>
      <c r="M246" s="2" t="n">
        <v>2528.83</v>
      </c>
      <c r="N246" s="2" t="inlineStr">
        <is>
          <t>New</t>
        </is>
      </c>
      <c r="O246" s="2" t="inlineStr">
        <is>
          <t>Online</t>
        </is>
      </c>
      <c r="P246" s="3" t="n">
        <v>5073.92</v>
      </c>
      <c r="Q246" s="3" t="n">
        <v>110.76</v>
      </c>
      <c r="R246" s="3" t="inlineStr"/>
    </row>
    <row r="247">
      <c r="A247" s="4" t="inlineStr">
        <is>
          <t>ORD-1246</t>
        </is>
      </c>
      <c r="B247" s="5" t="inlineStr">
        <is>
          <t>10-05-2024</t>
        </is>
      </c>
      <c r="C247" s="5" t="inlineStr">
        <is>
          <t>May-2024</t>
        </is>
      </c>
      <c r="D247" s="4" t="inlineStr">
        <is>
          <t>North</t>
        </is>
      </c>
      <c r="E247" s="4" t="inlineStr">
        <is>
          <t>Lucknow</t>
        </is>
      </c>
      <c r="F247" s="5" t="inlineStr">
        <is>
          <t>Priya Patel</t>
        </is>
      </c>
      <c r="G247" s="5" t="inlineStr">
        <is>
          <t>Furniture</t>
        </is>
      </c>
      <c r="H247" s="4" t="inlineStr">
        <is>
          <t>Bookshelf</t>
        </is>
      </c>
      <c r="I247" s="4" t="n">
        <v>11</v>
      </c>
      <c r="J247" s="5" t="n">
        <v>187.88</v>
      </c>
      <c r="K247" s="5" t="n">
        <v>2066.68</v>
      </c>
      <c r="L247" s="5" t="n">
        <v>1136.67</v>
      </c>
      <c r="M247" s="4" t="n">
        <v>930.01</v>
      </c>
      <c r="N247" s="4" t="inlineStr">
        <is>
          <t>New</t>
        </is>
      </c>
      <c r="O247" s="4" t="inlineStr">
        <is>
          <t>Offline</t>
        </is>
      </c>
      <c r="P247" s="5" t="n">
        <v>2346.41</v>
      </c>
      <c r="Q247" s="5" t="n">
        <v>88.08</v>
      </c>
      <c r="R247" s="5" t="inlineStr"/>
    </row>
    <row r="248">
      <c r="A248" s="2" t="inlineStr">
        <is>
          <t>ORD-1247</t>
        </is>
      </c>
      <c r="B248" s="3" t="inlineStr">
        <is>
          <t>11-05-2024</t>
        </is>
      </c>
      <c r="C248" s="3" t="inlineStr">
        <is>
          <t>May-2024</t>
        </is>
      </c>
      <c r="D248" s="2" t="inlineStr">
        <is>
          <t>East</t>
        </is>
      </c>
      <c r="E248" s="2" t="inlineStr">
        <is>
          <t>Patna</t>
        </is>
      </c>
      <c r="F248" s="3" t="inlineStr">
        <is>
          <t>Amit Kumar</t>
        </is>
      </c>
      <c r="G248" s="3" t="inlineStr">
        <is>
          <t>Software</t>
        </is>
      </c>
      <c r="H248" s="2" t="inlineStr">
        <is>
          <t>ERP Suite</t>
        </is>
      </c>
      <c r="I248" s="2" t="n">
        <v>12</v>
      </c>
      <c r="J248" s="3" t="n">
        <v>4851.98</v>
      </c>
      <c r="K248" s="3" t="n">
        <v>58223.76</v>
      </c>
      <c r="L248" s="3" t="n">
        <v>17467.13</v>
      </c>
      <c r="M248" s="2" t="n">
        <v>40756.63</v>
      </c>
      <c r="N248" s="2" t="inlineStr">
        <is>
          <t>Existing</t>
        </is>
      </c>
      <c r="O248" s="2" t="inlineStr">
        <is>
          <t>Online</t>
        </is>
      </c>
      <c r="P248" s="3" t="n">
        <v>70268.46000000001</v>
      </c>
      <c r="Q248" s="3" t="n">
        <v>82.86</v>
      </c>
      <c r="R248" s="3" t="inlineStr"/>
    </row>
    <row r="249">
      <c r="A249" s="4" t="inlineStr">
        <is>
          <t>ORD-1248</t>
        </is>
      </c>
      <c r="B249" s="5" t="inlineStr">
        <is>
          <t>11-05-2024</t>
        </is>
      </c>
      <c r="C249" s="5" t="inlineStr">
        <is>
          <t>May-2024</t>
        </is>
      </c>
      <c r="D249" s="4" t="inlineStr">
        <is>
          <t>East</t>
        </is>
      </c>
      <c r="E249" s="4" t="inlineStr">
        <is>
          <t>Patna</t>
        </is>
      </c>
      <c r="F249" s="5" t="inlineStr">
        <is>
          <t>Kavita Rao</t>
        </is>
      </c>
      <c r="G249" s="5" t="inlineStr">
        <is>
          <t>Electronics</t>
        </is>
      </c>
      <c r="H249" s="4" t="inlineStr">
        <is>
          <t>Smartphone</t>
        </is>
      </c>
      <c r="I249" s="4" t="n">
        <v>11</v>
      </c>
      <c r="J249" s="5" t="n">
        <v>738.86</v>
      </c>
      <c r="K249" s="5" t="n">
        <v>8127.46</v>
      </c>
      <c r="L249" s="5" t="n">
        <v>4876.48</v>
      </c>
      <c r="M249" s="4" t="n">
        <v>3250.98</v>
      </c>
      <c r="N249" s="4" t="inlineStr">
        <is>
          <t>Existing</t>
        </is>
      </c>
      <c r="O249" s="4" t="inlineStr">
        <is>
          <t>Online</t>
        </is>
      </c>
      <c r="P249" s="5" t="n">
        <v>7245.81</v>
      </c>
      <c r="Q249" s="5" t="n">
        <v>112.17</v>
      </c>
      <c r="R249" s="5" t="inlineStr"/>
    </row>
    <row r="250">
      <c r="A250" s="2" t="inlineStr">
        <is>
          <t>ORD-1249</t>
        </is>
      </c>
      <c r="B250" s="3" t="inlineStr">
        <is>
          <t>13-05-2024</t>
        </is>
      </c>
      <c r="C250" s="3" t="inlineStr">
        <is>
          <t>May-2024</t>
        </is>
      </c>
      <c r="D250" s="2" t="inlineStr">
        <is>
          <t>West</t>
        </is>
      </c>
      <c r="E250" s="2" t="inlineStr">
        <is>
          <t>Ahmedabad</t>
        </is>
      </c>
      <c r="F250" s="3" t="inlineStr">
        <is>
          <t>Kavita Rao</t>
        </is>
      </c>
      <c r="G250" s="3" t="inlineStr">
        <is>
          <t>Furniture</t>
        </is>
      </c>
      <c r="H250" s="2" t="inlineStr">
        <is>
          <t>Cabinet</t>
        </is>
      </c>
      <c r="I250" s="2" t="n">
        <v>14</v>
      </c>
      <c r="J250" s="3" t="n">
        <v>281.15</v>
      </c>
      <c r="K250" s="3" t="n">
        <v>3936.1</v>
      </c>
      <c r="L250" s="3" t="n">
        <v>2164.86</v>
      </c>
      <c r="M250" s="2" t="n">
        <v>1771.24</v>
      </c>
      <c r="N250" s="2" t="inlineStr">
        <is>
          <t>New</t>
        </is>
      </c>
      <c r="O250" s="2" t="inlineStr">
        <is>
          <t>Online</t>
        </is>
      </c>
      <c r="P250" s="3" t="n">
        <v>4112.52</v>
      </c>
      <c r="Q250" s="3" t="n">
        <v>95.70999999999999</v>
      </c>
      <c r="R250" s="3" t="inlineStr"/>
    </row>
    <row r="251">
      <c r="A251" s="4" t="inlineStr">
        <is>
          <t>ORD-1250</t>
        </is>
      </c>
      <c r="B251" s="5" t="inlineStr">
        <is>
          <t>13-05-2024</t>
        </is>
      </c>
      <c r="C251" s="5" t="inlineStr">
        <is>
          <t>May-2024</t>
        </is>
      </c>
      <c r="D251" s="4" t="inlineStr">
        <is>
          <t>South</t>
        </is>
      </c>
      <c r="E251" s="4" t="inlineStr">
        <is>
          <t>Chennai</t>
        </is>
      </c>
      <c r="F251" s="5" t="inlineStr">
        <is>
          <t>Deepa Nair</t>
        </is>
      </c>
      <c r="G251" s="5" t="inlineStr">
        <is>
          <t>Software</t>
        </is>
      </c>
      <c r="H251" s="4" t="inlineStr">
        <is>
          <t>ERP Suite</t>
        </is>
      </c>
      <c r="I251" s="4" t="n">
        <v>12</v>
      </c>
      <c r="J251" s="5" t="n">
        <v>5451.84</v>
      </c>
      <c r="K251" s="5" t="n">
        <v>65422.08</v>
      </c>
      <c r="L251" s="5" t="n">
        <v>19626.62</v>
      </c>
      <c r="M251" s="4" t="n">
        <v>45795.46</v>
      </c>
      <c r="N251" s="4" t="inlineStr">
        <is>
          <t>Existing</t>
        </is>
      </c>
      <c r="O251" s="4" t="inlineStr">
        <is>
          <t>Online</t>
        </is>
      </c>
      <c r="P251" s="5" t="n">
        <v>58720.52</v>
      </c>
      <c r="Q251" s="5" t="n">
        <v>111.41</v>
      </c>
      <c r="R251" s="5" t="inlineStr"/>
    </row>
    <row r="252">
      <c r="A252" s="2" t="inlineStr">
        <is>
          <t>ORD-1251</t>
        </is>
      </c>
      <c r="B252" s="3" t="inlineStr">
        <is>
          <t>13-05-2024</t>
        </is>
      </c>
      <c r="C252" s="3" t="inlineStr">
        <is>
          <t>May-2024</t>
        </is>
      </c>
      <c r="D252" s="2" t="inlineStr">
        <is>
          <t>West</t>
        </is>
      </c>
      <c r="E252" s="2" t="inlineStr">
        <is>
          <t>Pune</t>
        </is>
      </c>
      <c r="F252" s="3" t="inlineStr">
        <is>
          <t>Ravi Verma</t>
        </is>
      </c>
      <c r="G252" s="3" t="inlineStr">
        <is>
          <t>Software</t>
        </is>
      </c>
      <c r="H252" s="2" t="inlineStr">
        <is>
          <t>HR System</t>
        </is>
      </c>
      <c r="I252" s="2" t="n">
        <v>16</v>
      </c>
      <c r="J252" s="3" t="n">
        <v>1966.25</v>
      </c>
      <c r="K252" s="3" t="n">
        <v>31460</v>
      </c>
      <c r="L252" s="3" t="n">
        <v>9438</v>
      </c>
      <c r="M252" s="2" t="n">
        <v>22022</v>
      </c>
      <c r="N252" s="2" t="inlineStr">
        <is>
          <t>Existing</t>
        </is>
      </c>
      <c r="O252" s="2" t="inlineStr">
        <is>
          <t>Offline</t>
        </is>
      </c>
      <c r="P252" s="3" t="n">
        <v>27798.9</v>
      </c>
      <c r="Q252" s="3" t="n">
        <v>113.17</v>
      </c>
      <c r="R252" s="3" t="inlineStr"/>
    </row>
    <row r="253">
      <c r="A253" s="4" t="inlineStr">
        <is>
          <t>ORD-1252</t>
        </is>
      </c>
      <c r="B253" s="5" t="inlineStr">
        <is>
          <t>14-05-2024</t>
        </is>
      </c>
      <c r="C253" s="5" t="inlineStr">
        <is>
          <t>May-2024</t>
        </is>
      </c>
      <c r="D253" s="4" t="inlineStr">
        <is>
          <t>North</t>
        </is>
      </c>
      <c r="E253" s="4" t="inlineStr">
        <is>
          <t>Delhi</t>
        </is>
      </c>
      <c r="F253" s="5" t="inlineStr">
        <is>
          <t>Vikram Singh</t>
        </is>
      </c>
      <c r="G253" s="5" t="inlineStr">
        <is>
          <t>Electronics</t>
        </is>
      </c>
      <c r="H253" s="4" t="inlineStr">
        <is>
          <t>Tablet</t>
        </is>
      </c>
      <c r="I253" s="4" t="n">
        <v>8</v>
      </c>
      <c r="J253" s="5" t="n">
        <v>604.51</v>
      </c>
      <c r="K253" s="5" t="n">
        <v>4836.08</v>
      </c>
      <c r="L253" s="5" t="n">
        <v>2901.65</v>
      </c>
      <c r="M253" s="4" t="n">
        <v>1934.43</v>
      </c>
      <c r="N253" s="4" t="inlineStr">
        <is>
          <t>New</t>
        </is>
      </c>
      <c r="O253" s="4" t="inlineStr">
        <is>
          <t>Offline</t>
        </is>
      </c>
      <c r="P253" s="5" t="n">
        <v>5236.63</v>
      </c>
      <c r="Q253" s="5" t="n">
        <v>92.34999999999999</v>
      </c>
      <c r="R253" s="5" t="inlineStr"/>
    </row>
    <row r="254">
      <c r="A254" s="2" t="inlineStr">
        <is>
          <t>ORD-1253</t>
        </is>
      </c>
      <c r="B254" s="3" t="inlineStr">
        <is>
          <t>14-05-2024</t>
        </is>
      </c>
      <c r="C254" s="3" t="inlineStr">
        <is>
          <t>May-2024</t>
        </is>
      </c>
      <c r="D254" s="2" t="inlineStr">
        <is>
          <t>West</t>
        </is>
      </c>
      <c r="E254" s="2" t="inlineStr">
        <is>
          <t>Pune</t>
        </is>
      </c>
      <c r="F254" s="3" t="inlineStr">
        <is>
          <t>Ravi Verma</t>
        </is>
      </c>
      <c r="G254" s="3" t="inlineStr">
        <is>
          <t>Electronics</t>
        </is>
      </c>
      <c r="H254" s="2" t="inlineStr">
        <is>
          <t>Laptop</t>
        </is>
      </c>
      <c r="I254" s="2" t="n">
        <v>9</v>
      </c>
      <c r="J254" s="3" t="n">
        <v>1266.03</v>
      </c>
      <c r="K254" s="3" t="n">
        <v>11394.27</v>
      </c>
      <c r="L254" s="3" t="n">
        <v>6836.56</v>
      </c>
      <c r="M254" s="2" t="n">
        <v>4557.71</v>
      </c>
      <c r="N254" s="2" t="inlineStr">
        <is>
          <t>Existing</t>
        </is>
      </c>
      <c r="O254" s="2" t="inlineStr">
        <is>
          <t>Online</t>
        </is>
      </c>
      <c r="P254" s="3" t="n">
        <v>13445.26</v>
      </c>
      <c r="Q254" s="3" t="n">
        <v>84.75</v>
      </c>
      <c r="R254" s="3" t="inlineStr"/>
    </row>
    <row r="255">
      <c r="A255" s="4" t="inlineStr">
        <is>
          <t>ORD-1254</t>
        </is>
      </c>
      <c r="B255" s="5" t="inlineStr">
        <is>
          <t>14-05-2024</t>
        </is>
      </c>
      <c r="C255" s="5" t="inlineStr">
        <is>
          <t>May-2024</t>
        </is>
      </c>
      <c r="D255" s="4" t="inlineStr">
        <is>
          <t>West</t>
        </is>
      </c>
      <c r="E255" s="4" t="inlineStr">
        <is>
          <t>Pune</t>
        </is>
      </c>
      <c r="F255" s="5" t="inlineStr">
        <is>
          <t>Sneha Reddy</t>
        </is>
      </c>
      <c r="G255" s="5" t="inlineStr">
        <is>
          <t>Software</t>
        </is>
      </c>
      <c r="H255" s="4" t="inlineStr">
        <is>
          <t>ERP Suite</t>
        </is>
      </c>
      <c r="I255" s="4" t="n">
        <v>8</v>
      </c>
      <c r="J255" s="5" t="n">
        <v>4797.71</v>
      </c>
      <c r="K255" s="5" t="n">
        <v>38381.68</v>
      </c>
      <c r="L255" s="5" t="n">
        <v>11514.5</v>
      </c>
      <c r="M255" s="4" t="n">
        <v>26867.18</v>
      </c>
      <c r="N255" s="4" t="inlineStr">
        <is>
          <t>New</t>
        </is>
      </c>
      <c r="O255" s="4" t="inlineStr">
        <is>
          <t>Offline</t>
        </is>
      </c>
      <c r="P255" s="5" t="n">
        <v>35748.99</v>
      </c>
      <c r="Q255" s="5" t="n">
        <v>107.36</v>
      </c>
      <c r="R255" s="5" t="inlineStr"/>
    </row>
    <row r="256">
      <c r="A256" s="2" t="inlineStr">
        <is>
          <t>ORD-1255</t>
        </is>
      </c>
      <c r="B256" s="3" t="inlineStr">
        <is>
          <t>15-05-2024</t>
        </is>
      </c>
      <c r="C256" s="3" t="inlineStr">
        <is>
          <t>May-2024</t>
        </is>
      </c>
      <c r="D256" s="2" t="inlineStr">
        <is>
          <t>West</t>
        </is>
      </c>
      <c r="E256" s="2" t="inlineStr">
        <is>
          <t>Mumbai</t>
        </is>
      </c>
      <c r="F256" s="3" t="inlineStr">
        <is>
          <t>Sneha Reddy</t>
        </is>
      </c>
      <c r="G256" s="3" t="inlineStr">
        <is>
          <t>Furniture</t>
        </is>
      </c>
      <c r="H256" s="2" t="inlineStr">
        <is>
          <t>Bookshelf</t>
        </is>
      </c>
      <c r="I256" s="2" t="n">
        <v>20</v>
      </c>
      <c r="J256" s="3" t="n">
        <v>205.31</v>
      </c>
      <c r="K256" s="3" t="n">
        <v>4106.2</v>
      </c>
      <c r="L256" s="3" t="n">
        <v>2258.41</v>
      </c>
      <c r="M256" s="2" t="n">
        <v>1847.79</v>
      </c>
      <c r="N256" s="2" t="inlineStr">
        <is>
          <t>New</t>
        </is>
      </c>
      <c r="O256" s="2" t="inlineStr">
        <is>
          <t>Online</t>
        </is>
      </c>
      <c r="P256" s="3" t="n">
        <v>4896.33</v>
      </c>
      <c r="Q256" s="3" t="n">
        <v>83.86</v>
      </c>
      <c r="R256" s="3" t="inlineStr"/>
    </row>
    <row r="257">
      <c r="A257" s="4" t="inlineStr">
        <is>
          <t>ORD-1256</t>
        </is>
      </c>
      <c r="B257" s="5" t="inlineStr">
        <is>
          <t>16-05-2024</t>
        </is>
      </c>
      <c r="C257" s="5" t="inlineStr">
        <is>
          <t>May-2024</t>
        </is>
      </c>
      <c r="D257" s="4" t="inlineStr">
        <is>
          <t>North</t>
        </is>
      </c>
      <c r="E257" s="4" t="inlineStr">
        <is>
          <t>Lucknow</t>
        </is>
      </c>
      <c r="F257" s="5" t="inlineStr">
        <is>
          <t>Deepa Nair</t>
        </is>
      </c>
      <c r="G257" s="5" t="inlineStr">
        <is>
          <t>Apparel</t>
        </is>
      </c>
      <c r="H257" s="4" t="inlineStr">
        <is>
          <t>Formal Shirt</t>
        </is>
      </c>
      <c r="I257" s="4" t="n">
        <v>11</v>
      </c>
      <c r="J257" s="5" t="n">
        <v>87.66</v>
      </c>
      <c r="K257" s="5" t="n">
        <v>964.26</v>
      </c>
      <c r="L257" s="5" t="n">
        <v>433.92</v>
      </c>
      <c r="M257" s="4" t="n">
        <v>530.34</v>
      </c>
      <c r="N257" s="4" t="inlineStr">
        <is>
          <t>Existing</t>
        </is>
      </c>
      <c r="O257" s="4" t="inlineStr">
        <is>
          <t>Offline</t>
        </is>
      </c>
      <c r="P257" s="5" t="n">
        <v>1047.54</v>
      </c>
      <c r="Q257" s="5" t="n">
        <v>92.05</v>
      </c>
      <c r="R257" s="5" t="inlineStr"/>
    </row>
    <row r="258">
      <c r="A258" s="2" t="inlineStr">
        <is>
          <t>ORD-1257</t>
        </is>
      </c>
      <c r="B258" s="3" t="inlineStr">
        <is>
          <t>17-05-2024</t>
        </is>
      </c>
      <c r="C258" s="3" t="inlineStr">
        <is>
          <t>May-2024</t>
        </is>
      </c>
      <c r="D258" s="2" t="inlineStr">
        <is>
          <t>North</t>
        </is>
      </c>
      <c r="E258" s="2" t="inlineStr">
        <is>
          <t>Delhi</t>
        </is>
      </c>
      <c r="F258" s="3" t="inlineStr">
        <is>
          <t>Amit Kumar</t>
        </is>
      </c>
      <c r="G258" s="3" t="inlineStr">
        <is>
          <t>Electronics</t>
        </is>
      </c>
      <c r="H258" s="2" t="inlineStr">
        <is>
          <t>Tablet</t>
        </is>
      </c>
      <c r="I258" s="2" t="n">
        <v>5</v>
      </c>
      <c r="J258" s="3" t="n">
        <v>624.17</v>
      </c>
      <c r="K258" s="3" t="n">
        <v>3120.85</v>
      </c>
      <c r="L258" s="3" t="n">
        <v>1872.51</v>
      </c>
      <c r="M258" s="2" t="n">
        <v>1248.34</v>
      </c>
      <c r="N258" s="2" t="inlineStr">
        <is>
          <t>New</t>
        </is>
      </c>
      <c r="O258" s="2" t="inlineStr">
        <is>
          <t>Online</t>
        </is>
      </c>
      <c r="P258" s="3" t="n">
        <v>2724.88</v>
      </c>
      <c r="Q258" s="3" t="n">
        <v>114.53</v>
      </c>
      <c r="R258" s="3" t="inlineStr"/>
    </row>
    <row r="259">
      <c r="A259" s="4" t="inlineStr">
        <is>
          <t>ORD-1258</t>
        </is>
      </c>
      <c r="B259" s="5" t="inlineStr">
        <is>
          <t>17-05-2024</t>
        </is>
      </c>
      <c r="C259" s="5" t="inlineStr">
        <is>
          <t>May-2024</t>
        </is>
      </c>
      <c r="D259" s="4" t="inlineStr">
        <is>
          <t>East</t>
        </is>
      </c>
      <c r="E259" s="4" t="inlineStr">
        <is>
          <t>Kolkata</t>
        </is>
      </c>
      <c r="F259" s="5" t="inlineStr">
        <is>
          <t>Amit Kumar</t>
        </is>
      </c>
      <c r="G259" s="5" t="inlineStr">
        <is>
          <t>Software</t>
        </is>
      </c>
      <c r="H259" s="4" t="inlineStr">
        <is>
          <t>CRM Tool</t>
        </is>
      </c>
      <c r="I259" s="4" t="n">
        <v>19</v>
      </c>
      <c r="J259" s="5" t="n">
        <v>3079.44</v>
      </c>
      <c r="K259" s="5" t="n">
        <v>58509.36</v>
      </c>
      <c r="L259" s="5" t="n">
        <v>17552.81</v>
      </c>
      <c r="M259" s="4" t="n">
        <v>40956.55</v>
      </c>
      <c r="N259" s="4" t="inlineStr">
        <is>
          <t>Existing</t>
        </is>
      </c>
      <c r="O259" s="4" t="inlineStr">
        <is>
          <t>Offline</t>
        </is>
      </c>
      <c r="P259" s="5" t="n">
        <v>60030.36</v>
      </c>
      <c r="Q259" s="5" t="n">
        <v>97.47</v>
      </c>
      <c r="R259" s="5" t="inlineStr"/>
    </row>
    <row r="260">
      <c r="A260" s="2" t="inlineStr">
        <is>
          <t>ORD-1259</t>
        </is>
      </c>
      <c r="B260" s="3" t="inlineStr">
        <is>
          <t>17-05-2024</t>
        </is>
      </c>
      <c r="C260" s="3" t="inlineStr">
        <is>
          <t>May-2024</t>
        </is>
      </c>
      <c r="D260" s="2" t="inlineStr">
        <is>
          <t>North</t>
        </is>
      </c>
      <c r="E260" s="2" t="inlineStr">
        <is>
          <t>Chandigarh</t>
        </is>
      </c>
      <c r="F260" s="3" t="inlineStr">
        <is>
          <t>Ravi Verma</t>
        </is>
      </c>
      <c r="G260" s="3" t="inlineStr">
        <is>
          <t>Apparel</t>
        </is>
      </c>
      <c r="H260" s="2" t="inlineStr">
        <is>
          <t>T-Shirt</t>
        </is>
      </c>
      <c r="I260" s="2" t="n">
        <v>15</v>
      </c>
      <c r="J260" s="3" t="n">
        <v>43.6</v>
      </c>
      <c r="K260" s="3" t="n">
        <v>654</v>
      </c>
      <c r="L260" s="3" t="n">
        <v>294.3</v>
      </c>
      <c r="M260" s="2" t="n">
        <v>359.7</v>
      </c>
      <c r="N260" s="2" t="inlineStr">
        <is>
          <t>Existing</t>
        </is>
      </c>
      <c r="O260" s="2" t="inlineStr">
        <is>
          <t>Online</t>
        </is>
      </c>
      <c r="P260" s="3" t="n">
        <v>807.33</v>
      </c>
      <c r="Q260" s="3" t="n">
        <v>81.01000000000001</v>
      </c>
      <c r="R260" s="3" t="inlineStr"/>
    </row>
    <row r="261">
      <c r="A261" s="4" t="inlineStr">
        <is>
          <t>ORD-1260</t>
        </is>
      </c>
      <c r="B261" s="5" t="inlineStr">
        <is>
          <t>18-05-2024</t>
        </is>
      </c>
      <c r="C261" s="5" t="inlineStr">
        <is>
          <t>May-2024</t>
        </is>
      </c>
      <c r="D261" s="4" t="inlineStr">
        <is>
          <t>North</t>
        </is>
      </c>
      <c r="E261" s="4" t="inlineStr">
        <is>
          <t>Lucknow</t>
        </is>
      </c>
      <c r="F261" s="5" t="inlineStr">
        <is>
          <t>Pooja Joshi</t>
        </is>
      </c>
      <c r="G261" s="5" t="inlineStr">
        <is>
          <t>Apparel</t>
        </is>
      </c>
      <c r="H261" s="4" t="inlineStr">
        <is>
          <t>Jacket</t>
        </is>
      </c>
      <c r="I261" s="4" t="n">
        <v>18</v>
      </c>
      <c r="J261" s="5" t="n">
        <v>117.55</v>
      </c>
      <c r="K261" s="5" t="n">
        <v>2115.9</v>
      </c>
      <c r="L261" s="5" t="n">
        <v>952.16</v>
      </c>
      <c r="M261" s="4" t="n">
        <v>1163.74</v>
      </c>
      <c r="N261" s="4" t="inlineStr">
        <is>
          <t>Existing</t>
        </is>
      </c>
      <c r="O261" s="4" t="inlineStr">
        <is>
          <t>Online</t>
        </is>
      </c>
      <c r="P261" s="5" t="n">
        <v>2216.1</v>
      </c>
      <c r="Q261" s="5" t="n">
        <v>95.48</v>
      </c>
      <c r="R261" s="5" t="inlineStr"/>
    </row>
    <row r="262">
      <c r="A262" s="2" t="inlineStr">
        <is>
          <t>ORD-1261</t>
        </is>
      </c>
      <c r="B262" s="3" t="inlineStr">
        <is>
          <t>18-05-2024</t>
        </is>
      </c>
      <c r="C262" s="3" t="inlineStr">
        <is>
          <t>May-2024</t>
        </is>
      </c>
      <c r="D262" s="2" t="inlineStr">
        <is>
          <t>East</t>
        </is>
      </c>
      <c r="E262" s="2" t="inlineStr">
        <is>
          <t>Bhubaneswar</t>
        </is>
      </c>
      <c r="F262" s="3" t="inlineStr">
        <is>
          <t>Deepa Nair</t>
        </is>
      </c>
      <c r="G262" s="3" t="inlineStr">
        <is>
          <t>Furniture</t>
        </is>
      </c>
      <c r="H262" s="2" t="inlineStr">
        <is>
          <t>Cabinet</t>
        </is>
      </c>
      <c r="I262" s="2" t="n">
        <v>11</v>
      </c>
      <c r="J262" s="3" t="n">
        <v>323.65</v>
      </c>
      <c r="K262" s="3" t="n">
        <v>3560.15</v>
      </c>
      <c r="L262" s="3" t="n">
        <v>1958.08</v>
      </c>
      <c r="M262" s="2" t="n">
        <v>1602.07</v>
      </c>
      <c r="N262" s="2" t="inlineStr">
        <is>
          <t>New</t>
        </is>
      </c>
      <c r="O262" s="2" t="inlineStr">
        <is>
          <t>Online</t>
        </is>
      </c>
      <c r="P262" s="3" t="n">
        <v>3025.37</v>
      </c>
      <c r="Q262" s="3" t="n">
        <v>117.68</v>
      </c>
      <c r="R262" s="3" t="inlineStr"/>
    </row>
    <row r="263">
      <c r="A263" s="4" t="inlineStr">
        <is>
          <t>ORD-1262</t>
        </is>
      </c>
      <c r="B263" s="5" t="inlineStr">
        <is>
          <t>18-05-2024</t>
        </is>
      </c>
      <c r="C263" s="5" t="inlineStr">
        <is>
          <t>May-2024</t>
        </is>
      </c>
      <c r="D263" s="4" t="inlineStr">
        <is>
          <t>West</t>
        </is>
      </c>
      <c r="E263" s="4" t="inlineStr">
        <is>
          <t>Mumbai</t>
        </is>
      </c>
      <c r="F263" s="5" t="inlineStr">
        <is>
          <t>Priya Patel</t>
        </is>
      </c>
      <c r="G263" s="5" t="inlineStr">
        <is>
          <t>Furniture</t>
        </is>
      </c>
      <c r="H263" s="4" t="inlineStr">
        <is>
          <t>Cabinet</t>
        </is>
      </c>
      <c r="I263" s="4" t="n">
        <v>15</v>
      </c>
      <c r="J263" s="5" t="n">
        <v>270.04</v>
      </c>
      <c r="K263" s="5" t="n">
        <v>4050.6</v>
      </c>
      <c r="L263" s="5" t="n">
        <v>2227.83</v>
      </c>
      <c r="M263" s="4" t="n">
        <v>1822.77</v>
      </c>
      <c r="N263" s="4" t="inlineStr">
        <is>
          <t>Existing</t>
        </is>
      </c>
      <c r="O263" s="4" t="inlineStr">
        <is>
          <t>Online</t>
        </is>
      </c>
      <c r="P263" s="5" t="n">
        <v>5257.06</v>
      </c>
      <c r="Q263" s="5" t="n">
        <v>77.05</v>
      </c>
      <c r="R263" s="5" t="inlineStr"/>
    </row>
    <row r="264">
      <c r="A264" s="2" t="inlineStr">
        <is>
          <t>ORD-1263</t>
        </is>
      </c>
      <c r="B264" s="3" t="inlineStr">
        <is>
          <t>20-05-2024</t>
        </is>
      </c>
      <c r="C264" s="3" t="inlineStr">
        <is>
          <t>May-2024</t>
        </is>
      </c>
      <c r="D264" s="2" t="inlineStr">
        <is>
          <t>East</t>
        </is>
      </c>
      <c r="E264" s="2" t="inlineStr">
        <is>
          <t>Kolkata</t>
        </is>
      </c>
      <c r="F264" s="3" t="inlineStr">
        <is>
          <t>Vikram Singh</t>
        </is>
      </c>
      <c r="G264" s="3" t="inlineStr">
        <is>
          <t>Electronics</t>
        </is>
      </c>
      <c r="H264" s="2" t="inlineStr">
        <is>
          <t>Tablet</t>
        </is>
      </c>
      <c r="I264" s="2" t="n">
        <v>9</v>
      </c>
      <c r="J264" s="3" t="n">
        <v>549.89</v>
      </c>
      <c r="K264" s="3" t="n">
        <v>4949.01</v>
      </c>
      <c r="L264" s="3" t="n">
        <v>2969.41</v>
      </c>
      <c r="M264" s="2" t="n">
        <v>1979.6</v>
      </c>
      <c r="N264" s="2" t="inlineStr">
        <is>
          <t>New</t>
        </is>
      </c>
      <c r="O264" s="2" t="inlineStr">
        <is>
          <t>Online</t>
        </is>
      </c>
      <c r="P264" s="3" t="n">
        <v>4939.96</v>
      </c>
      <c r="Q264" s="3" t="n">
        <v>100.18</v>
      </c>
      <c r="R264" s="3" t="inlineStr"/>
    </row>
    <row r="265">
      <c r="A265" s="4" t="inlineStr">
        <is>
          <t>ORD-1264</t>
        </is>
      </c>
      <c r="B265" s="5" t="inlineStr">
        <is>
          <t>20-05-2024</t>
        </is>
      </c>
      <c r="C265" s="5" t="inlineStr">
        <is>
          <t>May-2024</t>
        </is>
      </c>
      <c r="D265" s="4" t="inlineStr">
        <is>
          <t>East</t>
        </is>
      </c>
      <c r="E265" s="4" t="inlineStr">
        <is>
          <t>Patna</t>
        </is>
      </c>
      <c r="F265" s="5" t="inlineStr">
        <is>
          <t>Sneha Reddy</t>
        </is>
      </c>
      <c r="G265" s="5" t="inlineStr">
        <is>
          <t>Software</t>
        </is>
      </c>
      <c r="H265" s="4" t="inlineStr">
        <is>
          <t>ERP Suite</t>
        </is>
      </c>
      <c r="I265" s="4" t="n">
        <v>4</v>
      </c>
      <c r="J265" s="5" t="n">
        <v>4501.09</v>
      </c>
      <c r="K265" s="5" t="n">
        <v>18004.36</v>
      </c>
      <c r="L265" s="5" t="n">
        <v>5401.31</v>
      </c>
      <c r="M265" s="4" t="n">
        <v>12603.05</v>
      </c>
      <c r="N265" s="4" t="inlineStr">
        <is>
          <t>Existing</t>
        </is>
      </c>
      <c r="O265" s="4" t="inlineStr">
        <is>
          <t>Online</t>
        </is>
      </c>
      <c r="P265" s="5" t="n">
        <v>15598.08</v>
      </c>
      <c r="Q265" s="5" t="n">
        <v>115.43</v>
      </c>
      <c r="R265" s="5" t="inlineStr"/>
    </row>
    <row r="266">
      <c r="A266" s="2" t="inlineStr">
        <is>
          <t>ORD-1265</t>
        </is>
      </c>
      <c r="B266" s="3" t="inlineStr">
        <is>
          <t>20-05-2024</t>
        </is>
      </c>
      <c r="C266" s="3" t="inlineStr">
        <is>
          <t>May-2024</t>
        </is>
      </c>
      <c r="D266" s="2" t="inlineStr">
        <is>
          <t>South</t>
        </is>
      </c>
      <c r="E266" s="2" t="inlineStr">
        <is>
          <t>Hyderabad</t>
        </is>
      </c>
      <c r="F266" s="3" t="inlineStr">
        <is>
          <t>Pooja Joshi</t>
        </is>
      </c>
      <c r="G266" s="3" t="inlineStr">
        <is>
          <t>Electronics</t>
        </is>
      </c>
      <c r="H266" s="2" t="inlineStr">
        <is>
          <t>Laptop</t>
        </is>
      </c>
      <c r="I266" s="2" t="n">
        <v>11</v>
      </c>
      <c r="J266" s="3" t="n">
        <v>1276.11</v>
      </c>
      <c r="K266" s="3" t="n">
        <v>14037.21</v>
      </c>
      <c r="L266" s="3" t="n">
        <v>8422.33</v>
      </c>
      <c r="M266" s="2" t="n">
        <v>5614.88</v>
      </c>
      <c r="N266" s="2" t="inlineStr">
        <is>
          <t>Existing</t>
        </is>
      </c>
      <c r="O266" s="2" t="inlineStr">
        <is>
          <t>Online</t>
        </is>
      </c>
      <c r="P266" s="3" t="n">
        <v>14582.56</v>
      </c>
      <c r="Q266" s="3" t="n">
        <v>96.26000000000001</v>
      </c>
      <c r="R266" s="3" t="inlineStr"/>
    </row>
    <row r="267">
      <c r="A267" s="4" t="inlineStr">
        <is>
          <t>ORD-1266</t>
        </is>
      </c>
      <c r="B267" s="5" t="inlineStr">
        <is>
          <t>21-05-2024</t>
        </is>
      </c>
      <c r="C267" s="5" t="inlineStr">
        <is>
          <t>May-2024</t>
        </is>
      </c>
      <c r="D267" s="4" t="inlineStr">
        <is>
          <t>West</t>
        </is>
      </c>
      <c r="E267" s="4" t="inlineStr">
        <is>
          <t>Mumbai</t>
        </is>
      </c>
      <c r="F267" s="5" t="inlineStr">
        <is>
          <t>Priya Patel</t>
        </is>
      </c>
      <c r="G267" s="5" t="inlineStr">
        <is>
          <t>Electronics</t>
        </is>
      </c>
      <c r="H267" s="4" t="inlineStr">
        <is>
          <t>Tablet</t>
        </is>
      </c>
      <c r="I267" s="4" t="n">
        <v>12</v>
      </c>
      <c r="J267" s="5" t="n">
        <v>645.72</v>
      </c>
      <c r="K267" s="5" t="n">
        <v>7748.64</v>
      </c>
      <c r="L267" s="5" t="n">
        <v>4649.18</v>
      </c>
      <c r="M267" s="4" t="n">
        <v>3099.46</v>
      </c>
      <c r="N267" s="4" t="inlineStr">
        <is>
          <t>New</t>
        </is>
      </c>
      <c r="O267" s="4" t="inlineStr">
        <is>
          <t>Offline</t>
        </is>
      </c>
      <c r="P267" s="5" t="n">
        <v>9195.549999999999</v>
      </c>
      <c r="Q267" s="5" t="n">
        <v>84.27</v>
      </c>
      <c r="R267" s="5" t="inlineStr"/>
    </row>
    <row r="268">
      <c r="A268" s="2" t="inlineStr">
        <is>
          <t>ORD-1267</t>
        </is>
      </c>
      <c r="B268" s="3" t="inlineStr">
        <is>
          <t>22-05-2024</t>
        </is>
      </c>
      <c r="C268" s="3" t="inlineStr">
        <is>
          <t>May-2024</t>
        </is>
      </c>
      <c r="D268" s="2" t="inlineStr">
        <is>
          <t>South</t>
        </is>
      </c>
      <c r="E268" s="2" t="inlineStr">
        <is>
          <t>Chennai</t>
        </is>
      </c>
      <c r="F268" s="3" t="inlineStr">
        <is>
          <t>Ravi Verma</t>
        </is>
      </c>
      <c r="G268" s="3" t="inlineStr">
        <is>
          <t>Electronics</t>
        </is>
      </c>
      <c r="H268" s="2" t="inlineStr">
        <is>
          <t>Smartphone</t>
        </is>
      </c>
      <c r="I268" s="2" t="n">
        <v>15</v>
      </c>
      <c r="J268" s="3" t="n">
        <v>776.1900000000001</v>
      </c>
      <c r="K268" s="3" t="n">
        <v>11642.85</v>
      </c>
      <c r="L268" s="3" t="n">
        <v>6985.71</v>
      </c>
      <c r="M268" s="2" t="n">
        <v>4657.14</v>
      </c>
      <c r="N268" s="2" t="inlineStr">
        <is>
          <t>New</t>
        </is>
      </c>
      <c r="O268" s="2" t="inlineStr">
        <is>
          <t>Online</t>
        </is>
      </c>
      <c r="P268" s="3" t="n">
        <v>14669.37</v>
      </c>
      <c r="Q268" s="3" t="n">
        <v>79.37</v>
      </c>
      <c r="R268" s="3" t="inlineStr"/>
    </row>
    <row r="269">
      <c r="A269" s="4" t="inlineStr">
        <is>
          <t>ORD-1268</t>
        </is>
      </c>
      <c r="B269" s="5" t="inlineStr">
        <is>
          <t>23-05-2024</t>
        </is>
      </c>
      <c r="C269" s="5" t="inlineStr">
        <is>
          <t>May-2024</t>
        </is>
      </c>
      <c r="D269" s="4" t="inlineStr">
        <is>
          <t>West</t>
        </is>
      </c>
      <c r="E269" s="4" t="inlineStr">
        <is>
          <t>Mumbai</t>
        </is>
      </c>
      <c r="F269" s="5" t="inlineStr">
        <is>
          <t>Priya Patel</t>
        </is>
      </c>
      <c r="G269" s="5" t="inlineStr">
        <is>
          <t>Electronics</t>
        </is>
      </c>
      <c r="H269" s="4" t="inlineStr">
        <is>
          <t>Smartphone</t>
        </is>
      </c>
      <c r="I269" s="4" t="n">
        <v>4</v>
      </c>
      <c r="J269" s="5" t="n">
        <v>814.33</v>
      </c>
      <c r="K269" s="5" t="n">
        <v>3257.32</v>
      </c>
      <c r="L269" s="5" t="n">
        <v>1954.39</v>
      </c>
      <c r="M269" s="4" t="n">
        <v>1302.93</v>
      </c>
      <c r="N269" s="4" t="inlineStr">
        <is>
          <t>Existing</t>
        </is>
      </c>
      <c r="O269" s="4" t="inlineStr">
        <is>
          <t>Offline</t>
        </is>
      </c>
      <c r="P269" s="5" t="n">
        <v>4174.66</v>
      </c>
      <c r="Q269" s="5" t="n">
        <v>78.03</v>
      </c>
      <c r="R269" s="5" t="inlineStr"/>
    </row>
    <row r="270">
      <c r="A270" s="2" t="inlineStr">
        <is>
          <t>ORD-1269</t>
        </is>
      </c>
      <c r="B270" s="3" t="inlineStr">
        <is>
          <t>23-05-2024</t>
        </is>
      </c>
      <c r="C270" s="3" t="inlineStr">
        <is>
          <t>May-2024</t>
        </is>
      </c>
      <c r="D270" s="2" t="inlineStr">
        <is>
          <t>East</t>
        </is>
      </c>
      <c r="E270" s="2" t="inlineStr">
        <is>
          <t>Kolkata</t>
        </is>
      </c>
      <c r="F270" s="3" t="inlineStr">
        <is>
          <t>Sneha Reddy</t>
        </is>
      </c>
      <c r="G270" s="3" t="inlineStr">
        <is>
          <t>Apparel</t>
        </is>
      </c>
      <c r="H270" s="2" t="inlineStr">
        <is>
          <t>Jacket</t>
        </is>
      </c>
      <c r="I270" s="2" t="n">
        <v>8</v>
      </c>
      <c r="J270" s="3" t="n">
        <v>121.28</v>
      </c>
      <c r="K270" s="3" t="n">
        <v>970.24</v>
      </c>
      <c r="L270" s="3" t="n">
        <v>436.61</v>
      </c>
      <c r="M270" s="2" t="n">
        <v>533.63</v>
      </c>
      <c r="N270" s="2" t="inlineStr">
        <is>
          <t>Existing</t>
        </is>
      </c>
      <c r="O270" s="2" t="inlineStr">
        <is>
          <t>Online</t>
        </is>
      </c>
      <c r="P270" s="3" t="n">
        <v>1187.52</v>
      </c>
      <c r="Q270" s="3" t="n">
        <v>81.7</v>
      </c>
      <c r="R270" s="3" t="inlineStr"/>
    </row>
    <row r="271">
      <c r="A271" s="4" t="inlineStr">
        <is>
          <t>ORD-1270</t>
        </is>
      </c>
      <c r="B271" s="5" t="inlineStr">
        <is>
          <t>23-05-2024</t>
        </is>
      </c>
      <c r="C271" s="5" t="inlineStr">
        <is>
          <t>May-2024</t>
        </is>
      </c>
      <c r="D271" s="4" t="inlineStr">
        <is>
          <t>East</t>
        </is>
      </c>
      <c r="E271" s="4" t="inlineStr">
        <is>
          <t>Kolkata</t>
        </is>
      </c>
      <c r="F271" s="5" t="inlineStr">
        <is>
          <t>Ravi Verma</t>
        </is>
      </c>
      <c r="G271" s="5" t="inlineStr">
        <is>
          <t>Furniture</t>
        </is>
      </c>
      <c r="H271" s="4" t="inlineStr">
        <is>
          <t>Cabinet</t>
        </is>
      </c>
      <c r="I271" s="4" t="n">
        <v>10</v>
      </c>
      <c r="J271" s="5" t="n">
        <v>308.77</v>
      </c>
      <c r="K271" s="5" t="n">
        <v>3087.7</v>
      </c>
      <c r="L271" s="5" t="n">
        <v>1698.24</v>
      </c>
      <c r="M271" s="4" t="n">
        <v>1389.46</v>
      </c>
      <c r="N271" s="4" t="inlineStr">
        <is>
          <t>New</t>
        </is>
      </c>
      <c r="O271" s="4" t="inlineStr">
        <is>
          <t>Offline</t>
        </is>
      </c>
      <c r="P271" s="5" t="n">
        <v>3065.91</v>
      </c>
      <c r="Q271" s="5" t="n">
        <v>100.71</v>
      </c>
      <c r="R271" s="5" t="inlineStr"/>
    </row>
    <row r="272">
      <c r="A272" s="2" t="inlineStr">
        <is>
          <t>ORD-1271</t>
        </is>
      </c>
      <c r="B272" s="3" t="inlineStr">
        <is>
          <t>24-05-2024</t>
        </is>
      </c>
      <c r="C272" s="3" t="inlineStr">
        <is>
          <t>May-2024</t>
        </is>
      </c>
      <c r="D272" s="2" t="inlineStr">
        <is>
          <t>West</t>
        </is>
      </c>
      <c r="E272" s="2" t="inlineStr">
        <is>
          <t>Pune</t>
        </is>
      </c>
      <c r="F272" s="3" t="inlineStr">
        <is>
          <t>Kavita Rao</t>
        </is>
      </c>
      <c r="G272" s="3" t="inlineStr">
        <is>
          <t>Electronics</t>
        </is>
      </c>
      <c r="H272" s="2" t="inlineStr">
        <is>
          <t>Laptop</t>
        </is>
      </c>
      <c r="I272" s="2" t="n">
        <v>12</v>
      </c>
      <c r="J272" s="3" t="n">
        <v>1304.14</v>
      </c>
      <c r="K272" s="3" t="n">
        <v>15649.68</v>
      </c>
      <c r="L272" s="3" t="n">
        <v>9389.809999999999</v>
      </c>
      <c r="M272" s="2" t="n">
        <v>6259.87</v>
      </c>
      <c r="N272" s="2" t="inlineStr">
        <is>
          <t>New</t>
        </is>
      </c>
      <c r="O272" s="2" t="inlineStr">
        <is>
          <t>Offline</t>
        </is>
      </c>
      <c r="P272" s="3" t="n">
        <v>19255.48</v>
      </c>
      <c r="Q272" s="3" t="n">
        <v>81.27</v>
      </c>
      <c r="R272" s="3" t="inlineStr"/>
    </row>
    <row r="273">
      <c r="A273" s="4" t="inlineStr">
        <is>
          <t>ORD-1272</t>
        </is>
      </c>
      <c r="B273" s="5" t="inlineStr">
        <is>
          <t>25-05-2024</t>
        </is>
      </c>
      <c r="C273" s="5" t="inlineStr">
        <is>
          <t>May-2024</t>
        </is>
      </c>
      <c r="D273" s="4" t="inlineStr">
        <is>
          <t>West</t>
        </is>
      </c>
      <c r="E273" s="4" t="inlineStr">
        <is>
          <t>Ahmedabad</t>
        </is>
      </c>
      <c r="F273" s="5" t="inlineStr">
        <is>
          <t>Ravi Verma</t>
        </is>
      </c>
      <c r="G273" s="5" t="inlineStr">
        <is>
          <t>Furniture</t>
        </is>
      </c>
      <c r="H273" s="4" t="inlineStr">
        <is>
          <t>Cabinet</t>
        </is>
      </c>
      <c r="I273" s="4" t="n">
        <v>3</v>
      </c>
      <c r="J273" s="5" t="n">
        <v>271</v>
      </c>
      <c r="K273" s="5" t="n">
        <v>813</v>
      </c>
      <c r="L273" s="5" t="n">
        <v>447.15</v>
      </c>
      <c r="M273" s="4" t="n">
        <v>365.85</v>
      </c>
      <c r="N273" s="4" t="inlineStr">
        <is>
          <t>New</t>
        </is>
      </c>
      <c r="O273" s="4" t="inlineStr">
        <is>
          <t>Online</t>
        </is>
      </c>
      <c r="P273" s="5" t="n">
        <v>756.98</v>
      </c>
      <c r="Q273" s="5" t="n">
        <v>107.4</v>
      </c>
      <c r="R273" s="5" t="inlineStr"/>
    </row>
    <row r="274">
      <c r="A274" s="2" t="inlineStr">
        <is>
          <t>ORD-1273</t>
        </is>
      </c>
      <c r="B274" s="3" t="inlineStr">
        <is>
          <t>25-05-2024</t>
        </is>
      </c>
      <c r="C274" s="3" t="inlineStr">
        <is>
          <t>May-2024</t>
        </is>
      </c>
      <c r="D274" s="2" t="inlineStr">
        <is>
          <t>North</t>
        </is>
      </c>
      <c r="E274" s="2" t="inlineStr">
        <is>
          <t>Delhi</t>
        </is>
      </c>
      <c r="F274" s="3" t="inlineStr">
        <is>
          <t>Amit Kumar</t>
        </is>
      </c>
      <c r="G274" s="3" t="inlineStr">
        <is>
          <t>Apparel</t>
        </is>
      </c>
      <c r="H274" s="2" t="inlineStr">
        <is>
          <t>Trousers</t>
        </is>
      </c>
      <c r="I274" s="2" t="n">
        <v>14</v>
      </c>
      <c r="J274" s="3" t="n">
        <v>72.83</v>
      </c>
      <c r="K274" s="3" t="n">
        <v>1019.62</v>
      </c>
      <c r="L274" s="3" t="n">
        <v>458.83</v>
      </c>
      <c r="M274" s="2" t="n">
        <v>560.79</v>
      </c>
      <c r="N274" s="2" t="inlineStr">
        <is>
          <t>New</t>
        </is>
      </c>
      <c r="O274" s="2" t="inlineStr">
        <is>
          <t>Online</t>
        </is>
      </c>
      <c r="P274" s="3" t="n">
        <v>957.15</v>
      </c>
      <c r="Q274" s="3" t="n">
        <v>106.53</v>
      </c>
      <c r="R274" s="3" t="inlineStr"/>
    </row>
    <row r="275">
      <c r="A275" s="4" t="inlineStr">
        <is>
          <t>ORD-1274</t>
        </is>
      </c>
      <c r="B275" s="5" t="inlineStr">
        <is>
          <t>25-05-2024</t>
        </is>
      </c>
      <c r="C275" s="5" t="inlineStr">
        <is>
          <t>May-2024</t>
        </is>
      </c>
      <c r="D275" s="4" t="inlineStr">
        <is>
          <t>East</t>
        </is>
      </c>
      <c r="E275" s="4" t="inlineStr">
        <is>
          <t>Kolkata</t>
        </is>
      </c>
      <c r="F275" s="5" t="inlineStr">
        <is>
          <t>Ravi Verma</t>
        </is>
      </c>
      <c r="G275" s="5" t="inlineStr">
        <is>
          <t>Furniture</t>
        </is>
      </c>
      <c r="H275" s="4" t="inlineStr">
        <is>
          <t>Desk</t>
        </is>
      </c>
      <c r="I275" s="4" t="n">
        <v>18</v>
      </c>
      <c r="J275" s="5" t="n">
        <v>434.41</v>
      </c>
      <c r="K275" s="5" t="n">
        <v>7819.38</v>
      </c>
      <c r="L275" s="5" t="n">
        <v>4300.66</v>
      </c>
      <c r="M275" s="4" t="n">
        <v>3518.72</v>
      </c>
      <c r="N275" s="4" t="inlineStr">
        <is>
          <t>New</t>
        </is>
      </c>
      <c r="O275" s="4" t="inlineStr">
        <is>
          <t>Offline</t>
        </is>
      </c>
      <c r="P275" s="5" t="n">
        <v>8987.110000000001</v>
      </c>
      <c r="Q275" s="5" t="n">
        <v>87.01000000000001</v>
      </c>
      <c r="R275" s="5" t="inlineStr"/>
    </row>
    <row r="276">
      <c r="A276" s="2" t="inlineStr">
        <is>
          <t>ORD-1275</t>
        </is>
      </c>
      <c r="B276" s="3" t="inlineStr">
        <is>
          <t>27-05-2024</t>
        </is>
      </c>
      <c r="C276" s="3" t="inlineStr">
        <is>
          <t>May-2024</t>
        </is>
      </c>
      <c r="D276" s="2" t="inlineStr">
        <is>
          <t>South</t>
        </is>
      </c>
      <c r="E276" s="2" t="inlineStr">
        <is>
          <t>Chennai</t>
        </is>
      </c>
      <c r="F276" s="3" t="inlineStr">
        <is>
          <t>Amit Kumar</t>
        </is>
      </c>
      <c r="G276" s="3" t="inlineStr">
        <is>
          <t>Electronics</t>
        </is>
      </c>
      <c r="H276" s="2" t="inlineStr">
        <is>
          <t>Smartwatch</t>
        </is>
      </c>
      <c r="I276" s="2" t="n">
        <v>20</v>
      </c>
      <c r="J276" s="3" t="n">
        <v>306.53</v>
      </c>
      <c r="K276" s="3" t="n">
        <v>6130.6</v>
      </c>
      <c r="L276" s="3" t="n">
        <v>3678.36</v>
      </c>
      <c r="M276" s="2" t="n">
        <v>2452.24</v>
      </c>
      <c r="N276" s="2" t="inlineStr">
        <is>
          <t>Existing</t>
        </is>
      </c>
      <c r="O276" s="2" t="inlineStr">
        <is>
          <t>Online</t>
        </is>
      </c>
      <c r="P276" s="3" t="n">
        <v>5270.61</v>
      </c>
      <c r="Q276" s="3" t="n">
        <v>116.32</v>
      </c>
      <c r="R276" s="3" t="inlineStr"/>
    </row>
    <row r="277">
      <c r="A277" s="4" t="inlineStr">
        <is>
          <t>ORD-1276</t>
        </is>
      </c>
      <c r="B277" s="5" t="inlineStr">
        <is>
          <t>28-05-2024</t>
        </is>
      </c>
      <c r="C277" s="5" t="inlineStr">
        <is>
          <t>May-2024</t>
        </is>
      </c>
      <c r="D277" s="4" t="inlineStr">
        <is>
          <t>South</t>
        </is>
      </c>
      <c r="E277" s="4" t="inlineStr">
        <is>
          <t>Hyderabad</t>
        </is>
      </c>
      <c r="F277" s="5" t="inlineStr">
        <is>
          <t>Rahul Sharma</t>
        </is>
      </c>
      <c r="G277" s="5" t="inlineStr">
        <is>
          <t>Furniture</t>
        </is>
      </c>
      <c r="H277" s="4" t="inlineStr">
        <is>
          <t>Cabinet</t>
        </is>
      </c>
      <c r="I277" s="4" t="n">
        <v>12</v>
      </c>
      <c r="J277" s="5" t="n">
        <v>301.38</v>
      </c>
      <c r="K277" s="5" t="n">
        <v>3616.56</v>
      </c>
      <c r="L277" s="5" t="n">
        <v>1989.11</v>
      </c>
      <c r="M277" s="4" t="n">
        <v>1627.45</v>
      </c>
      <c r="N277" s="4" t="inlineStr">
        <is>
          <t>Existing</t>
        </is>
      </c>
      <c r="O277" s="4" t="inlineStr">
        <is>
          <t>Online</t>
        </is>
      </c>
      <c r="P277" s="5" t="n">
        <v>3565.69</v>
      </c>
      <c r="Q277" s="5" t="n">
        <v>101.43</v>
      </c>
      <c r="R277" s="5" t="inlineStr"/>
    </row>
    <row r="278">
      <c r="A278" s="2" t="inlineStr">
        <is>
          <t>ORD-1277</t>
        </is>
      </c>
      <c r="B278" s="3" t="inlineStr">
        <is>
          <t>28-05-2024</t>
        </is>
      </c>
      <c r="C278" s="3" t="inlineStr">
        <is>
          <t>May-2024</t>
        </is>
      </c>
      <c r="D278" s="2" t="inlineStr">
        <is>
          <t>East</t>
        </is>
      </c>
      <c r="E278" s="2" t="inlineStr">
        <is>
          <t>Patna</t>
        </is>
      </c>
      <c r="F278" s="3" t="inlineStr">
        <is>
          <t>Priya Patel</t>
        </is>
      </c>
      <c r="G278" s="3" t="inlineStr">
        <is>
          <t>Electronics</t>
        </is>
      </c>
      <c r="H278" s="2" t="inlineStr">
        <is>
          <t>Tablet</t>
        </is>
      </c>
      <c r="I278" s="2" t="n">
        <v>14</v>
      </c>
      <c r="J278" s="3" t="n">
        <v>572.64</v>
      </c>
      <c r="K278" s="3" t="n">
        <v>8016.96</v>
      </c>
      <c r="L278" s="3" t="n">
        <v>4810.18</v>
      </c>
      <c r="M278" s="2" t="n">
        <v>3206.78</v>
      </c>
      <c r="N278" s="2" t="inlineStr">
        <is>
          <t>New</t>
        </is>
      </c>
      <c r="O278" s="2" t="inlineStr">
        <is>
          <t>Offline</t>
        </is>
      </c>
      <c r="P278" s="3" t="n">
        <v>9268.9</v>
      </c>
      <c r="Q278" s="3" t="n">
        <v>86.48999999999999</v>
      </c>
      <c r="R278" s="3" t="inlineStr"/>
    </row>
    <row r="279">
      <c r="A279" s="4" t="inlineStr">
        <is>
          <t>ORD-1278</t>
        </is>
      </c>
      <c r="B279" s="5" t="inlineStr">
        <is>
          <t>28-05-2024</t>
        </is>
      </c>
      <c r="C279" s="5" t="inlineStr">
        <is>
          <t>May-2024</t>
        </is>
      </c>
      <c r="D279" s="4" t="inlineStr">
        <is>
          <t>North</t>
        </is>
      </c>
      <c r="E279" s="4" t="inlineStr">
        <is>
          <t>Chandigarh</t>
        </is>
      </c>
      <c r="F279" s="5" t="inlineStr">
        <is>
          <t>Pooja Joshi</t>
        </is>
      </c>
      <c r="G279" s="5" t="inlineStr">
        <is>
          <t>Apparel</t>
        </is>
      </c>
      <c r="H279" s="4" t="inlineStr">
        <is>
          <t>Jacket</t>
        </is>
      </c>
      <c r="I279" s="4" t="n">
        <v>16</v>
      </c>
      <c r="J279" s="5" t="n">
        <v>128.62</v>
      </c>
      <c r="K279" s="5" t="n">
        <v>2057.92</v>
      </c>
      <c r="L279" s="5" t="n">
        <v>926.0599999999999</v>
      </c>
      <c r="M279" s="4" t="n">
        <v>1131.86</v>
      </c>
      <c r="N279" s="4" t="inlineStr">
        <is>
          <t>New</t>
        </is>
      </c>
      <c r="O279" s="4" t="inlineStr">
        <is>
          <t>Offline</t>
        </is>
      </c>
      <c r="P279" s="5" t="n">
        <v>1808.2</v>
      </c>
      <c r="Q279" s="5" t="n">
        <v>113.81</v>
      </c>
      <c r="R279" s="5" t="inlineStr"/>
    </row>
    <row r="280">
      <c r="A280" s="2" t="inlineStr">
        <is>
          <t>ORD-1279</t>
        </is>
      </c>
      <c r="B280" s="3" t="inlineStr">
        <is>
          <t>29-05-2024</t>
        </is>
      </c>
      <c r="C280" s="3" t="inlineStr">
        <is>
          <t>May-2024</t>
        </is>
      </c>
      <c r="D280" s="2" t="inlineStr">
        <is>
          <t>North</t>
        </is>
      </c>
      <c r="E280" s="2" t="inlineStr">
        <is>
          <t>Delhi</t>
        </is>
      </c>
      <c r="F280" s="3" t="inlineStr">
        <is>
          <t>Ravi Verma</t>
        </is>
      </c>
      <c r="G280" s="3" t="inlineStr">
        <is>
          <t>Electronics</t>
        </is>
      </c>
      <c r="H280" s="2" t="inlineStr">
        <is>
          <t>Laptop</t>
        </is>
      </c>
      <c r="I280" s="2" t="n">
        <v>1</v>
      </c>
      <c r="J280" s="3" t="n">
        <v>1138.69</v>
      </c>
      <c r="K280" s="3" t="n">
        <v>1138.69</v>
      </c>
      <c r="L280" s="3" t="n">
        <v>683.21</v>
      </c>
      <c r="M280" s="2" t="n">
        <v>455.48</v>
      </c>
      <c r="N280" s="2" t="inlineStr">
        <is>
          <t>Existing</t>
        </is>
      </c>
      <c r="O280" s="2" t="inlineStr">
        <is>
          <t>Offline</t>
        </is>
      </c>
      <c r="P280" s="3" t="n">
        <v>1129</v>
      </c>
      <c r="Q280" s="3" t="n">
        <v>100.86</v>
      </c>
      <c r="R280" s="3" t="inlineStr"/>
    </row>
    <row r="281">
      <c r="A281" s="4" t="inlineStr">
        <is>
          <t>ORD-1280</t>
        </is>
      </c>
      <c r="B281" s="5" t="inlineStr">
        <is>
          <t>30-05-2024</t>
        </is>
      </c>
      <c r="C281" s="5" t="inlineStr">
        <is>
          <t>May-2024</t>
        </is>
      </c>
      <c r="D281" s="4" t="inlineStr">
        <is>
          <t>South</t>
        </is>
      </c>
      <c r="E281" s="4" t="inlineStr">
        <is>
          <t>Chennai</t>
        </is>
      </c>
      <c r="F281" s="5" t="inlineStr">
        <is>
          <t>Ravi Verma</t>
        </is>
      </c>
      <c r="G281" s="5" t="inlineStr">
        <is>
          <t>Software</t>
        </is>
      </c>
      <c r="H281" s="4" t="inlineStr">
        <is>
          <t>CRM Tool</t>
        </is>
      </c>
      <c r="I281" s="4" t="n">
        <v>11</v>
      </c>
      <c r="J281" s="5" t="n">
        <v>2848.96</v>
      </c>
      <c r="K281" s="5" t="n">
        <v>31338.56</v>
      </c>
      <c r="L281" s="5" t="n">
        <v>9401.57</v>
      </c>
      <c r="M281" s="4" t="n">
        <v>21936.99</v>
      </c>
      <c r="N281" s="4" t="inlineStr">
        <is>
          <t>Existing</t>
        </is>
      </c>
      <c r="O281" s="4" t="inlineStr">
        <is>
          <t>Offline</t>
        </is>
      </c>
      <c r="P281" s="5" t="n">
        <v>38013.63</v>
      </c>
      <c r="Q281" s="5" t="n">
        <v>82.44</v>
      </c>
      <c r="R281" s="5" t="inlineStr"/>
    </row>
    <row r="282">
      <c r="A282" s="2" t="inlineStr">
        <is>
          <t>ORD-1281</t>
        </is>
      </c>
      <c r="B282" s="3" t="inlineStr">
        <is>
          <t>31-05-2024</t>
        </is>
      </c>
      <c r="C282" s="3" t="inlineStr">
        <is>
          <t>May-2024</t>
        </is>
      </c>
      <c r="D282" s="2" t="inlineStr">
        <is>
          <t>East</t>
        </is>
      </c>
      <c r="E282" s="2" t="inlineStr">
        <is>
          <t>Kolkata</t>
        </is>
      </c>
      <c r="F282" s="3" t="inlineStr">
        <is>
          <t>Ravi Verma</t>
        </is>
      </c>
      <c r="G282" s="3" t="inlineStr">
        <is>
          <t>Electronics</t>
        </is>
      </c>
      <c r="H282" s="2" t="inlineStr">
        <is>
          <t>Smartphone</t>
        </is>
      </c>
      <c r="I282" s="2" t="n">
        <v>8</v>
      </c>
      <c r="J282" s="3" t="n">
        <v>848.6900000000001</v>
      </c>
      <c r="K282" s="3" t="n">
        <v>6789.52</v>
      </c>
      <c r="L282" s="3" t="n">
        <v>4073.71</v>
      </c>
      <c r="M282" s="2" t="n">
        <v>2715.81</v>
      </c>
      <c r="N282" s="2" t="inlineStr">
        <is>
          <t>New</t>
        </is>
      </c>
      <c r="O282" s="2" t="inlineStr">
        <is>
          <t>Offline</t>
        </is>
      </c>
      <c r="P282" s="3" t="n">
        <v>5665.6</v>
      </c>
      <c r="Q282" s="3" t="n">
        <v>119.84</v>
      </c>
      <c r="R282" s="3" t="inlineStr"/>
    </row>
    <row r="283">
      <c r="A283" s="4" t="inlineStr">
        <is>
          <t>ORD-1282</t>
        </is>
      </c>
      <c r="B283" s="5" t="inlineStr">
        <is>
          <t>31-05-2024</t>
        </is>
      </c>
      <c r="C283" s="5" t="inlineStr">
        <is>
          <t>May-2024</t>
        </is>
      </c>
      <c r="D283" s="4" t="inlineStr">
        <is>
          <t>West</t>
        </is>
      </c>
      <c r="E283" s="4" t="inlineStr">
        <is>
          <t>Ahmedabad</t>
        </is>
      </c>
      <c r="F283" s="5" t="inlineStr">
        <is>
          <t>Vikram Singh</t>
        </is>
      </c>
      <c r="G283" s="5" t="inlineStr">
        <is>
          <t>Apparel</t>
        </is>
      </c>
      <c r="H283" s="4" t="inlineStr">
        <is>
          <t>Jacket</t>
        </is>
      </c>
      <c r="I283" s="4" t="n">
        <v>18</v>
      </c>
      <c r="J283" s="5" t="n">
        <v>118.96</v>
      </c>
      <c r="K283" s="5" t="n">
        <v>2141.28</v>
      </c>
      <c r="L283" s="5" t="n">
        <v>963.58</v>
      </c>
      <c r="M283" s="4" t="n">
        <v>1177.7</v>
      </c>
      <c r="N283" s="4" t="inlineStr">
        <is>
          <t>Existing</t>
        </is>
      </c>
      <c r="O283" s="4" t="inlineStr">
        <is>
          <t>Online</t>
        </is>
      </c>
      <c r="P283" s="5" t="n">
        <v>2025.22</v>
      </c>
      <c r="Q283" s="5" t="n">
        <v>105.73</v>
      </c>
      <c r="R283" s="5" t="inlineStr"/>
    </row>
    <row r="284">
      <c r="A284" s="2" t="inlineStr">
        <is>
          <t>ORD-1283</t>
        </is>
      </c>
      <c r="B284" s="3" t="inlineStr">
        <is>
          <t>31-05-2024</t>
        </is>
      </c>
      <c r="C284" s="3" t="inlineStr">
        <is>
          <t>May-2024</t>
        </is>
      </c>
      <c r="D284" s="2" t="inlineStr">
        <is>
          <t>East</t>
        </is>
      </c>
      <c r="E284" s="2" t="inlineStr">
        <is>
          <t>Patna</t>
        </is>
      </c>
      <c r="F284" s="3" t="inlineStr">
        <is>
          <t>Kavita Rao</t>
        </is>
      </c>
      <c r="G284" s="3" t="inlineStr">
        <is>
          <t>Furniture</t>
        </is>
      </c>
      <c r="H284" s="2" t="inlineStr">
        <is>
          <t>Cabinet</t>
        </is>
      </c>
      <c r="I284" s="2" t="n">
        <v>12</v>
      </c>
      <c r="J284" s="3" t="n">
        <v>305.5</v>
      </c>
      <c r="K284" s="3" t="n">
        <v>3666</v>
      </c>
      <c r="L284" s="3" t="n">
        <v>2016.3</v>
      </c>
      <c r="M284" s="2" t="n">
        <v>1649.7</v>
      </c>
      <c r="N284" s="2" t="inlineStr">
        <is>
          <t>Existing</t>
        </is>
      </c>
      <c r="O284" s="2" t="inlineStr">
        <is>
          <t>Online</t>
        </is>
      </c>
      <c r="P284" s="3" t="n">
        <v>4275.41</v>
      </c>
      <c r="Q284" s="3" t="n">
        <v>85.75</v>
      </c>
      <c r="R284" s="3" t="inlineStr"/>
    </row>
    <row r="285">
      <c r="A285" s="4" t="inlineStr">
        <is>
          <t>ORD-1284</t>
        </is>
      </c>
      <c r="B285" s="5" t="inlineStr">
        <is>
          <t>01-06-2024</t>
        </is>
      </c>
      <c r="C285" s="5" t="inlineStr">
        <is>
          <t>Jun-2024</t>
        </is>
      </c>
      <c r="D285" s="4" t="inlineStr">
        <is>
          <t>South</t>
        </is>
      </c>
      <c r="E285" s="4" t="inlineStr">
        <is>
          <t>Chennai</t>
        </is>
      </c>
      <c r="F285" s="5" t="inlineStr">
        <is>
          <t>Rahul Sharma</t>
        </is>
      </c>
      <c r="G285" s="5" t="inlineStr">
        <is>
          <t>Software</t>
        </is>
      </c>
      <c r="H285" s="4" t="inlineStr">
        <is>
          <t>ERP Suite</t>
        </is>
      </c>
      <c r="I285" s="4" t="n">
        <v>8</v>
      </c>
      <c r="J285" s="5" t="n">
        <v>5041.55</v>
      </c>
      <c r="K285" s="5" t="n">
        <v>40332.4</v>
      </c>
      <c r="L285" s="5" t="n">
        <v>12099.72</v>
      </c>
      <c r="M285" s="4" t="n">
        <v>28232.68</v>
      </c>
      <c r="N285" s="4" t="inlineStr">
        <is>
          <t>New</t>
        </is>
      </c>
      <c r="O285" s="4" t="inlineStr">
        <is>
          <t>Offline</t>
        </is>
      </c>
      <c r="P285" s="5" t="n">
        <v>32295.4</v>
      </c>
      <c r="Q285" s="5" t="n">
        <v>124.89</v>
      </c>
      <c r="R285" s="5" t="inlineStr"/>
    </row>
    <row r="286">
      <c r="A286" s="2" t="inlineStr">
        <is>
          <t>ORD-1285</t>
        </is>
      </c>
      <c r="B286" s="3" t="inlineStr">
        <is>
          <t>01-06-2024</t>
        </is>
      </c>
      <c r="C286" s="3" t="inlineStr">
        <is>
          <t>Jun-2024</t>
        </is>
      </c>
      <c r="D286" s="2" t="inlineStr">
        <is>
          <t>West</t>
        </is>
      </c>
      <c r="E286" s="2" t="inlineStr">
        <is>
          <t>Pune</t>
        </is>
      </c>
      <c r="F286" s="3" t="inlineStr">
        <is>
          <t>Vikram Singh</t>
        </is>
      </c>
      <c r="G286" s="3" t="inlineStr">
        <is>
          <t>Electronics</t>
        </is>
      </c>
      <c r="H286" s="2" t="inlineStr">
        <is>
          <t>Smartphone</t>
        </is>
      </c>
      <c r="I286" s="2" t="n">
        <v>17</v>
      </c>
      <c r="J286" s="3" t="n">
        <v>877.3</v>
      </c>
      <c r="K286" s="3" t="n">
        <v>14914.1</v>
      </c>
      <c r="L286" s="3" t="n">
        <v>8948.459999999999</v>
      </c>
      <c r="M286" s="2" t="n">
        <v>5965.64</v>
      </c>
      <c r="N286" s="2" t="inlineStr">
        <is>
          <t>Existing</t>
        </is>
      </c>
      <c r="O286" s="2" t="inlineStr">
        <is>
          <t>Offline</t>
        </is>
      </c>
      <c r="P286" s="3" t="n">
        <v>19098.89</v>
      </c>
      <c r="Q286" s="3" t="n">
        <v>78.09</v>
      </c>
      <c r="R286" s="3" t="inlineStr"/>
    </row>
    <row r="287">
      <c r="A287" s="4" t="inlineStr">
        <is>
          <t>ORD-1286</t>
        </is>
      </c>
      <c r="B287" s="5" t="inlineStr">
        <is>
          <t>01-06-2024</t>
        </is>
      </c>
      <c r="C287" s="5" t="inlineStr">
        <is>
          <t>Jun-2024</t>
        </is>
      </c>
      <c r="D287" s="4" t="inlineStr">
        <is>
          <t>South</t>
        </is>
      </c>
      <c r="E287" s="4" t="inlineStr">
        <is>
          <t>Hyderabad</t>
        </is>
      </c>
      <c r="F287" s="5" t="inlineStr">
        <is>
          <t>Vikram Singh</t>
        </is>
      </c>
      <c r="G287" s="5" t="inlineStr">
        <is>
          <t>Electronics</t>
        </is>
      </c>
      <c r="H287" s="4" t="inlineStr">
        <is>
          <t>Laptop</t>
        </is>
      </c>
      <c r="I287" s="4" t="n">
        <v>8</v>
      </c>
      <c r="J287" s="5" t="n">
        <v>1295.35</v>
      </c>
      <c r="K287" s="5" t="n">
        <v>10362.8</v>
      </c>
      <c r="L287" s="5" t="n">
        <v>6217.68</v>
      </c>
      <c r="M287" s="4" t="n">
        <v>4145.12</v>
      </c>
      <c r="N287" s="4" t="inlineStr">
        <is>
          <t>Existing</t>
        </is>
      </c>
      <c r="O287" s="4" t="inlineStr">
        <is>
          <t>Offline</t>
        </is>
      </c>
      <c r="P287" s="5" t="n">
        <v>10665.69</v>
      </c>
      <c r="Q287" s="5" t="n">
        <v>97.16</v>
      </c>
      <c r="R287" s="5" t="inlineStr"/>
    </row>
    <row r="288">
      <c r="A288" s="2" t="inlineStr">
        <is>
          <t>ORD-1287</t>
        </is>
      </c>
      <c r="B288" s="3" t="inlineStr">
        <is>
          <t>03-06-2024</t>
        </is>
      </c>
      <c r="C288" s="3" t="inlineStr">
        <is>
          <t>Jun-2024</t>
        </is>
      </c>
      <c r="D288" s="2" t="inlineStr">
        <is>
          <t>North</t>
        </is>
      </c>
      <c r="E288" s="2" t="inlineStr">
        <is>
          <t>Lucknow</t>
        </is>
      </c>
      <c r="F288" s="3" t="inlineStr">
        <is>
          <t>Arjun Mehta</t>
        </is>
      </c>
      <c r="G288" s="3" t="inlineStr">
        <is>
          <t>Software</t>
        </is>
      </c>
      <c r="H288" s="2" t="inlineStr">
        <is>
          <t>ERP Suite</t>
        </is>
      </c>
      <c r="I288" s="2" t="n">
        <v>19</v>
      </c>
      <c r="J288" s="3" t="n">
        <v>5067.82</v>
      </c>
      <c r="K288" s="3" t="n">
        <v>96288.58</v>
      </c>
      <c r="L288" s="3" t="n">
        <v>28886.57</v>
      </c>
      <c r="M288" s="2" t="n">
        <v>67402.00999999999</v>
      </c>
      <c r="N288" s="2" t="inlineStr">
        <is>
          <t>Existing</t>
        </is>
      </c>
      <c r="O288" s="2" t="inlineStr">
        <is>
          <t>Online</t>
        </is>
      </c>
      <c r="P288" s="3" t="n">
        <v>88430.07000000001</v>
      </c>
      <c r="Q288" s="3" t="n">
        <v>108.89</v>
      </c>
      <c r="R288" s="3" t="inlineStr"/>
    </row>
    <row r="289">
      <c r="A289" s="4" t="inlineStr">
        <is>
          <t>ORD-1288</t>
        </is>
      </c>
      <c r="B289" s="5" t="inlineStr">
        <is>
          <t>03-06-2024</t>
        </is>
      </c>
      <c r="C289" s="5" t="inlineStr">
        <is>
          <t>Jun-2024</t>
        </is>
      </c>
      <c r="D289" s="4" t="inlineStr">
        <is>
          <t>East</t>
        </is>
      </c>
      <c r="E289" s="4" t="inlineStr">
        <is>
          <t>Bhubaneswar</t>
        </is>
      </c>
      <c r="F289" s="5" t="inlineStr">
        <is>
          <t>Amit Kumar</t>
        </is>
      </c>
      <c r="G289" s="5" t="inlineStr">
        <is>
          <t>Apparel</t>
        </is>
      </c>
      <c r="H289" s="4" t="inlineStr">
        <is>
          <t>T-Shirt</t>
        </is>
      </c>
      <c r="I289" s="4" t="n">
        <v>15</v>
      </c>
      <c r="J289" s="5" t="n">
        <v>38.18</v>
      </c>
      <c r="K289" s="5" t="n">
        <v>572.7</v>
      </c>
      <c r="L289" s="5" t="n">
        <v>257.72</v>
      </c>
      <c r="M289" s="4" t="n">
        <v>314.98</v>
      </c>
      <c r="N289" s="4" t="inlineStr">
        <is>
          <t>New</t>
        </is>
      </c>
      <c r="O289" s="4" t="inlineStr">
        <is>
          <t>Online</t>
        </is>
      </c>
      <c r="P289" s="5" t="n">
        <v>497.14</v>
      </c>
      <c r="Q289" s="5" t="n">
        <v>115.2</v>
      </c>
      <c r="R289" s="5" t="inlineStr"/>
    </row>
    <row r="290">
      <c r="A290" s="2" t="inlineStr">
        <is>
          <t>ORD-1289</t>
        </is>
      </c>
      <c r="B290" s="3" t="inlineStr">
        <is>
          <t>03-06-2024</t>
        </is>
      </c>
      <c r="C290" s="3" t="inlineStr">
        <is>
          <t>Jun-2024</t>
        </is>
      </c>
      <c r="D290" s="2" t="inlineStr">
        <is>
          <t>North</t>
        </is>
      </c>
      <c r="E290" s="2" t="inlineStr">
        <is>
          <t>Delhi</t>
        </is>
      </c>
      <c r="F290" s="3" t="inlineStr">
        <is>
          <t>Priya Patel</t>
        </is>
      </c>
      <c r="G290" s="3" t="inlineStr">
        <is>
          <t>Furniture</t>
        </is>
      </c>
      <c r="H290" s="2" t="inlineStr">
        <is>
          <t>Cabinet</t>
        </is>
      </c>
      <c r="I290" s="2" t="n">
        <v>15</v>
      </c>
      <c r="J290" s="3" t="n">
        <v>288.84</v>
      </c>
      <c r="K290" s="3" t="n">
        <v>4332.6</v>
      </c>
      <c r="L290" s="3" t="n">
        <v>2382.93</v>
      </c>
      <c r="M290" s="2" t="n">
        <v>1949.67</v>
      </c>
      <c r="N290" s="2" t="inlineStr">
        <is>
          <t>New</t>
        </is>
      </c>
      <c r="O290" s="2" t="inlineStr">
        <is>
          <t>Offline</t>
        </is>
      </c>
      <c r="P290" s="3" t="n">
        <v>5555.77</v>
      </c>
      <c r="Q290" s="3" t="n">
        <v>77.98</v>
      </c>
      <c r="R290" s="3" t="inlineStr"/>
    </row>
    <row r="291">
      <c r="A291" s="4" t="inlineStr">
        <is>
          <t>ORD-1290</t>
        </is>
      </c>
      <c r="B291" s="5" t="inlineStr">
        <is>
          <t>04-06-2024</t>
        </is>
      </c>
      <c r="C291" s="5" t="inlineStr">
        <is>
          <t>Jun-2024</t>
        </is>
      </c>
      <c r="D291" s="4" t="inlineStr">
        <is>
          <t>West</t>
        </is>
      </c>
      <c r="E291" s="4" t="inlineStr">
        <is>
          <t>Ahmedabad</t>
        </is>
      </c>
      <c r="F291" s="5" t="inlineStr">
        <is>
          <t>Pooja Joshi</t>
        </is>
      </c>
      <c r="G291" s="5" t="inlineStr">
        <is>
          <t>Apparel</t>
        </is>
      </c>
      <c r="H291" s="4" t="inlineStr">
        <is>
          <t>Jacket</t>
        </is>
      </c>
      <c r="I291" s="4" t="n">
        <v>3</v>
      </c>
      <c r="J291" s="5" t="n">
        <v>111.78</v>
      </c>
      <c r="K291" s="5" t="n">
        <v>335.34</v>
      </c>
      <c r="L291" s="5" t="n">
        <v>150.9</v>
      </c>
      <c r="M291" s="4" t="n">
        <v>184.44</v>
      </c>
      <c r="N291" s="4" t="inlineStr">
        <is>
          <t>Existing</t>
        </is>
      </c>
      <c r="O291" s="4" t="inlineStr">
        <is>
          <t>Online</t>
        </is>
      </c>
      <c r="P291" s="5" t="n">
        <v>304.32</v>
      </c>
      <c r="Q291" s="5" t="n">
        <v>110.19</v>
      </c>
      <c r="R291" s="5" t="inlineStr"/>
    </row>
    <row r="292">
      <c r="A292" s="2" t="inlineStr">
        <is>
          <t>ORD-1291</t>
        </is>
      </c>
      <c r="B292" s="3" t="inlineStr">
        <is>
          <t>05-06-2024</t>
        </is>
      </c>
      <c r="C292" s="3" t="inlineStr">
        <is>
          <t>Jun-2024</t>
        </is>
      </c>
      <c r="D292" s="2" t="inlineStr">
        <is>
          <t>South</t>
        </is>
      </c>
      <c r="E292" s="2" t="inlineStr">
        <is>
          <t>Chennai</t>
        </is>
      </c>
      <c r="F292" s="3" t="inlineStr">
        <is>
          <t>Sneha Reddy</t>
        </is>
      </c>
      <c r="G292" s="3" t="inlineStr">
        <is>
          <t>Apparel</t>
        </is>
      </c>
      <c r="H292" s="2" t="inlineStr">
        <is>
          <t>Trousers</t>
        </is>
      </c>
      <c r="I292" s="2" t="n">
        <v>17</v>
      </c>
      <c r="J292" s="3" t="n">
        <v>63.69</v>
      </c>
      <c r="K292" s="3" t="n">
        <v>1082.73</v>
      </c>
      <c r="L292" s="3" t="n">
        <v>487.23</v>
      </c>
      <c r="M292" s="2" t="n">
        <v>595.5</v>
      </c>
      <c r="N292" s="2" t="inlineStr">
        <is>
          <t>Existing</t>
        </is>
      </c>
      <c r="O292" s="2" t="inlineStr">
        <is>
          <t>Offline</t>
        </is>
      </c>
      <c r="P292" s="3" t="n">
        <v>1310.15</v>
      </c>
      <c r="Q292" s="3" t="n">
        <v>82.64</v>
      </c>
      <c r="R292" s="3" t="inlineStr"/>
    </row>
    <row r="293">
      <c r="A293" s="4" t="inlineStr">
        <is>
          <t>ORD-1292</t>
        </is>
      </c>
      <c r="B293" s="5" t="inlineStr">
        <is>
          <t>05-06-2024</t>
        </is>
      </c>
      <c r="C293" s="5" t="inlineStr">
        <is>
          <t>Jun-2024</t>
        </is>
      </c>
      <c r="D293" s="4" t="inlineStr">
        <is>
          <t>South</t>
        </is>
      </c>
      <c r="E293" s="4" t="inlineStr">
        <is>
          <t>Chennai</t>
        </is>
      </c>
      <c r="F293" s="5" t="inlineStr">
        <is>
          <t>Amit Kumar</t>
        </is>
      </c>
      <c r="G293" s="5" t="inlineStr">
        <is>
          <t>Software</t>
        </is>
      </c>
      <c r="H293" s="4" t="inlineStr">
        <is>
          <t>CRM Tool</t>
        </is>
      </c>
      <c r="I293" s="4" t="n">
        <v>4</v>
      </c>
      <c r="J293" s="5" t="n">
        <v>2977.23</v>
      </c>
      <c r="K293" s="5" t="n">
        <v>11908.92</v>
      </c>
      <c r="L293" s="5" t="n">
        <v>3572.68</v>
      </c>
      <c r="M293" s="4" t="n">
        <v>8336.24</v>
      </c>
      <c r="N293" s="4" t="inlineStr">
        <is>
          <t>New</t>
        </is>
      </c>
      <c r="O293" s="4" t="inlineStr">
        <is>
          <t>Online</t>
        </is>
      </c>
      <c r="P293" s="5" t="n">
        <v>9598.33</v>
      </c>
      <c r="Q293" s="5" t="n">
        <v>124.07</v>
      </c>
      <c r="R293" s="5" t="inlineStr"/>
    </row>
    <row r="294">
      <c r="A294" s="2" t="inlineStr">
        <is>
          <t>ORD-1293</t>
        </is>
      </c>
      <c r="B294" s="3" t="inlineStr">
        <is>
          <t>06-06-2024</t>
        </is>
      </c>
      <c r="C294" s="3" t="inlineStr">
        <is>
          <t>Jun-2024</t>
        </is>
      </c>
      <c r="D294" s="2" t="inlineStr">
        <is>
          <t>South</t>
        </is>
      </c>
      <c r="E294" s="2" t="inlineStr">
        <is>
          <t>Chennai</t>
        </is>
      </c>
      <c r="F294" s="3" t="inlineStr">
        <is>
          <t>Amit Kumar</t>
        </is>
      </c>
      <c r="G294" s="3" t="inlineStr">
        <is>
          <t>Apparel</t>
        </is>
      </c>
      <c r="H294" s="2" t="inlineStr">
        <is>
          <t>Jacket</t>
        </is>
      </c>
      <c r="I294" s="2" t="n">
        <v>19</v>
      </c>
      <c r="J294" s="3" t="n">
        <v>122.07</v>
      </c>
      <c r="K294" s="3" t="n">
        <v>2319.33</v>
      </c>
      <c r="L294" s="3" t="n">
        <v>1043.7</v>
      </c>
      <c r="M294" s="2" t="n">
        <v>1275.63</v>
      </c>
      <c r="N294" s="2" t="inlineStr">
        <is>
          <t>New</t>
        </is>
      </c>
      <c r="O294" s="2" t="inlineStr">
        <is>
          <t>Online</t>
        </is>
      </c>
      <c r="P294" s="3" t="n">
        <v>3011.84</v>
      </c>
      <c r="Q294" s="3" t="n">
        <v>77.01000000000001</v>
      </c>
      <c r="R294" s="3" t="inlineStr"/>
    </row>
    <row r="295">
      <c r="A295" s="4" t="inlineStr">
        <is>
          <t>ORD-1294</t>
        </is>
      </c>
      <c r="B295" s="5" t="inlineStr">
        <is>
          <t>07-06-2024</t>
        </is>
      </c>
      <c r="C295" s="5" t="inlineStr">
        <is>
          <t>Jun-2024</t>
        </is>
      </c>
      <c r="D295" s="4" t="inlineStr">
        <is>
          <t>West</t>
        </is>
      </c>
      <c r="E295" s="4" t="inlineStr">
        <is>
          <t>Mumbai</t>
        </is>
      </c>
      <c r="F295" s="5" t="inlineStr">
        <is>
          <t>Priya Patel</t>
        </is>
      </c>
      <c r="G295" s="5" t="inlineStr">
        <is>
          <t>Apparel</t>
        </is>
      </c>
      <c r="H295" s="4" t="inlineStr">
        <is>
          <t>Jacket</t>
        </is>
      </c>
      <c r="I295" s="4" t="n">
        <v>2</v>
      </c>
      <c r="J295" s="5" t="n">
        <v>130.61</v>
      </c>
      <c r="K295" s="5" t="n">
        <v>261.22</v>
      </c>
      <c r="L295" s="5" t="n">
        <v>117.55</v>
      </c>
      <c r="M295" s="4" t="n">
        <v>143.67</v>
      </c>
      <c r="N295" s="4" t="inlineStr">
        <is>
          <t>New</t>
        </is>
      </c>
      <c r="O295" s="4" t="inlineStr">
        <is>
          <t>Online</t>
        </is>
      </c>
      <c r="P295" s="5" t="n">
        <v>329.68</v>
      </c>
      <c r="Q295" s="5" t="n">
        <v>79.23</v>
      </c>
      <c r="R295" s="5" t="inlineStr"/>
    </row>
    <row r="296">
      <c r="A296" s="2" t="inlineStr">
        <is>
          <t>ORD-1295</t>
        </is>
      </c>
      <c r="B296" s="3" t="inlineStr">
        <is>
          <t>08-06-2024</t>
        </is>
      </c>
      <c r="C296" s="3" t="inlineStr">
        <is>
          <t>Jun-2024</t>
        </is>
      </c>
      <c r="D296" s="2" t="inlineStr">
        <is>
          <t>West</t>
        </is>
      </c>
      <c r="E296" s="2" t="inlineStr">
        <is>
          <t>Ahmedabad</t>
        </is>
      </c>
      <c r="F296" s="3" t="inlineStr">
        <is>
          <t>Rahul Sharma</t>
        </is>
      </c>
      <c r="G296" s="3" t="inlineStr">
        <is>
          <t>Software</t>
        </is>
      </c>
      <c r="H296" s="2" t="inlineStr">
        <is>
          <t>HR System</t>
        </is>
      </c>
      <c r="I296" s="2" t="n">
        <v>6</v>
      </c>
      <c r="J296" s="3" t="n">
        <v>1941.58</v>
      </c>
      <c r="K296" s="3" t="n">
        <v>11649.48</v>
      </c>
      <c r="L296" s="3" t="n">
        <v>3494.84</v>
      </c>
      <c r="M296" s="2" t="n">
        <v>8154.64</v>
      </c>
      <c r="N296" s="2" t="inlineStr">
        <is>
          <t>New</t>
        </is>
      </c>
      <c r="O296" s="2" t="inlineStr">
        <is>
          <t>Offline</t>
        </is>
      </c>
      <c r="P296" s="3" t="n">
        <v>10949.66</v>
      </c>
      <c r="Q296" s="3" t="n">
        <v>106.39</v>
      </c>
      <c r="R296" s="3" t="inlineStr"/>
    </row>
    <row r="297">
      <c r="A297" s="4" t="inlineStr">
        <is>
          <t>ORD-1296</t>
        </is>
      </c>
      <c r="B297" s="5" t="inlineStr">
        <is>
          <t>08-06-2024</t>
        </is>
      </c>
      <c r="C297" s="5" t="inlineStr">
        <is>
          <t>Jun-2024</t>
        </is>
      </c>
      <c r="D297" s="4" t="inlineStr">
        <is>
          <t>South</t>
        </is>
      </c>
      <c r="E297" s="4" t="inlineStr">
        <is>
          <t>Chennai</t>
        </is>
      </c>
      <c r="F297" s="5" t="inlineStr">
        <is>
          <t>Kavita Rao</t>
        </is>
      </c>
      <c r="G297" s="5" t="inlineStr">
        <is>
          <t>Furniture</t>
        </is>
      </c>
      <c r="H297" s="4" t="inlineStr">
        <is>
          <t>Bookshelf</t>
        </is>
      </c>
      <c r="I297" s="4" t="n">
        <v>16</v>
      </c>
      <c r="J297" s="5" t="n">
        <v>196.48</v>
      </c>
      <c r="K297" s="5" t="n">
        <v>3143.68</v>
      </c>
      <c r="L297" s="5" t="n">
        <v>1729.02</v>
      </c>
      <c r="M297" s="4" t="n">
        <v>1414.66</v>
      </c>
      <c r="N297" s="4" t="inlineStr">
        <is>
          <t>Existing</t>
        </is>
      </c>
      <c r="O297" s="4" t="inlineStr">
        <is>
          <t>Online</t>
        </is>
      </c>
      <c r="P297" s="5" t="n">
        <v>2652.83</v>
      </c>
      <c r="Q297" s="5" t="n">
        <v>118.5</v>
      </c>
      <c r="R297" s="5" t="inlineStr"/>
    </row>
    <row r="298">
      <c r="A298" s="2" t="inlineStr">
        <is>
          <t>ORD-1297</t>
        </is>
      </c>
      <c r="B298" s="3" t="inlineStr">
        <is>
          <t>09-06-2024</t>
        </is>
      </c>
      <c r="C298" s="3" t="inlineStr">
        <is>
          <t>Jun-2024</t>
        </is>
      </c>
      <c r="D298" s="2" t="inlineStr">
        <is>
          <t>South</t>
        </is>
      </c>
      <c r="E298" s="2" t="inlineStr">
        <is>
          <t>Bangalore</t>
        </is>
      </c>
      <c r="F298" s="3" t="inlineStr">
        <is>
          <t>Sneha Reddy</t>
        </is>
      </c>
      <c r="G298" s="3" t="inlineStr">
        <is>
          <t>Furniture</t>
        </is>
      </c>
      <c r="H298" s="2" t="inlineStr">
        <is>
          <t>Office Chair</t>
        </is>
      </c>
      <c r="I298" s="2" t="n">
        <v>13</v>
      </c>
      <c r="J298" s="3" t="n">
        <v>369.73</v>
      </c>
      <c r="K298" s="3" t="n">
        <v>4806.49</v>
      </c>
      <c r="L298" s="3" t="n">
        <v>2643.57</v>
      </c>
      <c r="M298" s="2" t="n">
        <v>2162.92</v>
      </c>
      <c r="N298" s="2" t="inlineStr">
        <is>
          <t>Existing</t>
        </is>
      </c>
      <c r="O298" s="2" t="inlineStr">
        <is>
          <t>Offline</t>
        </is>
      </c>
      <c r="P298" s="3" t="n">
        <v>5153.8</v>
      </c>
      <c r="Q298" s="3" t="n">
        <v>93.26000000000001</v>
      </c>
      <c r="R298" s="3" t="inlineStr"/>
    </row>
    <row r="299">
      <c r="A299" s="4" t="inlineStr">
        <is>
          <t>ORD-1298</t>
        </is>
      </c>
      <c r="B299" s="5" t="inlineStr">
        <is>
          <t>10-06-2024</t>
        </is>
      </c>
      <c r="C299" s="5" t="inlineStr">
        <is>
          <t>Jun-2024</t>
        </is>
      </c>
      <c r="D299" s="4" t="inlineStr">
        <is>
          <t>East</t>
        </is>
      </c>
      <c r="E299" s="4" t="inlineStr">
        <is>
          <t>Patna</t>
        </is>
      </c>
      <c r="F299" s="5" t="inlineStr">
        <is>
          <t>Ravi Verma</t>
        </is>
      </c>
      <c r="G299" s="5" t="inlineStr">
        <is>
          <t>Apparel</t>
        </is>
      </c>
      <c r="H299" s="4" t="inlineStr">
        <is>
          <t>Trousers</t>
        </is>
      </c>
      <c r="I299" s="4" t="n">
        <v>9</v>
      </c>
      <c r="J299" s="5" t="n">
        <v>65.52</v>
      </c>
      <c r="K299" s="5" t="n">
        <v>589.6799999999999</v>
      </c>
      <c r="L299" s="5" t="n">
        <v>265.36</v>
      </c>
      <c r="M299" s="4" t="n">
        <v>324.32</v>
      </c>
      <c r="N299" s="4" t="inlineStr">
        <is>
          <t>Existing</t>
        </is>
      </c>
      <c r="O299" s="4" t="inlineStr">
        <is>
          <t>Online</t>
        </is>
      </c>
      <c r="P299" s="5" t="n">
        <v>480.38</v>
      </c>
      <c r="Q299" s="5" t="n">
        <v>122.75</v>
      </c>
      <c r="R299" s="5" t="inlineStr"/>
    </row>
    <row r="300">
      <c r="A300" s="2" t="inlineStr">
        <is>
          <t>ORD-1299</t>
        </is>
      </c>
      <c r="B300" s="3" t="inlineStr">
        <is>
          <t>10-06-2024</t>
        </is>
      </c>
      <c r="C300" s="3" t="inlineStr">
        <is>
          <t>Jun-2024</t>
        </is>
      </c>
      <c r="D300" s="2" t="inlineStr">
        <is>
          <t>East</t>
        </is>
      </c>
      <c r="E300" s="2" t="inlineStr">
        <is>
          <t>Kolkata</t>
        </is>
      </c>
      <c r="F300" s="3" t="inlineStr">
        <is>
          <t>Pooja Joshi</t>
        </is>
      </c>
      <c r="G300" s="3" t="inlineStr">
        <is>
          <t>Apparel</t>
        </is>
      </c>
      <c r="H300" s="2" t="inlineStr">
        <is>
          <t>Formal Shirt</t>
        </is>
      </c>
      <c r="I300" s="2" t="n">
        <v>6</v>
      </c>
      <c r="J300" s="3" t="n">
        <v>73.59999999999999</v>
      </c>
      <c r="K300" s="3" t="n">
        <v>441.6</v>
      </c>
      <c r="L300" s="3" t="n">
        <v>198.72</v>
      </c>
      <c r="M300" s="2" t="n">
        <v>242.88</v>
      </c>
      <c r="N300" s="2" t="inlineStr">
        <is>
          <t>New</t>
        </is>
      </c>
      <c r="O300" s="2" t="inlineStr">
        <is>
          <t>Offline</t>
        </is>
      </c>
      <c r="P300" s="3" t="n">
        <v>471.12</v>
      </c>
      <c r="Q300" s="3" t="n">
        <v>93.73</v>
      </c>
      <c r="R300" s="3" t="inlineStr"/>
    </row>
    <row r="301">
      <c r="A301" s="4" t="inlineStr">
        <is>
          <t>ORD-1300</t>
        </is>
      </c>
      <c r="B301" s="5" t="inlineStr">
        <is>
          <t>11-06-2024</t>
        </is>
      </c>
      <c r="C301" s="5" t="inlineStr">
        <is>
          <t>Jun-2024</t>
        </is>
      </c>
      <c r="D301" s="4" t="inlineStr">
        <is>
          <t>North</t>
        </is>
      </c>
      <c r="E301" s="4" t="inlineStr">
        <is>
          <t>Delhi</t>
        </is>
      </c>
      <c r="F301" s="5" t="inlineStr">
        <is>
          <t>Kavita Rao</t>
        </is>
      </c>
      <c r="G301" s="5" t="inlineStr">
        <is>
          <t>Software</t>
        </is>
      </c>
      <c r="H301" s="4" t="inlineStr">
        <is>
          <t>Analytics Pro</t>
        </is>
      </c>
      <c r="I301" s="4" t="n">
        <v>6</v>
      </c>
      <c r="J301" s="5" t="n">
        <v>2338.05</v>
      </c>
      <c r="K301" s="5" t="n">
        <v>14028.3</v>
      </c>
      <c r="L301" s="5" t="n">
        <v>4208.49</v>
      </c>
      <c r="M301" s="4" t="n">
        <v>9819.809999999999</v>
      </c>
      <c r="N301" s="4" t="inlineStr">
        <is>
          <t>Existing</t>
        </is>
      </c>
      <c r="O301" s="4" t="inlineStr">
        <is>
          <t>Offline</t>
        </is>
      </c>
      <c r="P301" s="5" t="n">
        <v>17633.43</v>
      </c>
      <c r="Q301" s="5" t="n">
        <v>79.56</v>
      </c>
      <c r="R301" s="5" t="inlineStr"/>
    </row>
    <row r="302">
      <c r="A302" s="2" t="inlineStr">
        <is>
          <t>ORD-1301</t>
        </is>
      </c>
      <c r="B302" s="3" t="inlineStr">
        <is>
          <t>11-06-2024</t>
        </is>
      </c>
      <c r="C302" s="3" t="inlineStr">
        <is>
          <t>Jun-2024</t>
        </is>
      </c>
      <c r="D302" s="2" t="inlineStr">
        <is>
          <t>North</t>
        </is>
      </c>
      <c r="E302" s="2" t="inlineStr">
        <is>
          <t>Lucknow</t>
        </is>
      </c>
      <c r="F302" s="3" t="inlineStr">
        <is>
          <t>Deepa Nair</t>
        </is>
      </c>
      <c r="G302" s="3" t="inlineStr">
        <is>
          <t>Furniture</t>
        </is>
      </c>
      <c r="H302" s="2" t="inlineStr">
        <is>
          <t>Desk</t>
        </is>
      </c>
      <c r="I302" s="2" t="n">
        <v>16</v>
      </c>
      <c r="J302" s="3" t="n">
        <v>453.79</v>
      </c>
      <c r="K302" s="3" t="n">
        <v>7260.64</v>
      </c>
      <c r="L302" s="3" t="n">
        <v>3993.35</v>
      </c>
      <c r="M302" s="2" t="n">
        <v>3267.29</v>
      </c>
      <c r="N302" s="2" t="inlineStr">
        <is>
          <t>New</t>
        </is>
      </c>
      <c r="O302" s="2" t="inlineStr">
        <is>
          <t>Offline</t>
        </is>
      </c>
      <c r="P302" s="3" t="n">
        <v>5946.33</v>
      </c>
      <c r="Q302" s="3" t="n">
        <v>122.1</v>
      </c>
      <c r="R302" s="3" t="inlineStr"/>
    </row>
    <row r="303">
      <c r="A303" s="4" t="inlineStr">
        <is>
          <t>ORD-1302</t>
        </is>
      </c>
      <c r="B303" s="5" t="inlineStr">
        <is>
          <t>11-06-2024</t>
        </is>
      </c>
      <c r="C303" s="5" t="inlineStr">
        <is>
          <t>Jun-2024</t>
        </is>
      </c>
      <c r="D303" s="4" t="inlineStr">
        <is>
          <t>North</t>
        </is>
      </c>
      <c r="E303" s="4" t="inlineStr">
        <is>
          <t>Delhi</t>
        </is>
      </c>
      <c r="F303" s="5" t="inlineStr">
        <is>
          <t>Kavita Rao</t>
        </is>
      </c>
      <c r="G303" s="5" t="inlineStr">
        <is>
          <t>Furniture</t>
        </is>
      </c>
      <c r="H303" s="4" t="inlineStr">
        <is>
          <t>Office Chair</t>
        </is>
      </c>
      <c r="I303" s="4" t="n">
        <v>17</v>
      </c>
      <c r="J303" s="5" t="n">
        <v>348.46</v>
      </c>
      <c r="K303" s="5" t="n">
        <v>5923.82</v>
      </c>
      <c r="L303" s="5" t="n">
        <v>3258.1</v>
      </c>
      <c r="M303" s="4" t="n">
        <v>2665.72</v>
      </c>
      <c r="N303" s="4" t="inlineStr">
        <is>
          <t>Existing</t>
        </is>
      </c>
      <c r="O303" s="4" t="inlineStr">
        <is>
          <t>Online</t>
        </is>
      </c>
      <c r="P303" s="5" t="n">
        <v>7127.67</v>
      </c>
      <c r="Q303" s="5" t="n">
        <v>83.11</v>
      </c>
      <c r="R303" s="5" t="inlineStr"/>
    </row>
    <row r="304">
      <c r="A304" s="2" t="inlineStr">
        <is>
          <t>ORD-1303</t>
        </is>
      </c>
      <c r="B304" s="3" t="inlineStr">
        <is>
          <t>12-06-2024</t>
        </is>
      </c>
      <c r="C304" s="3" t="inlineStr">
        <is>
          <t>Jun-2024</t>
        </is>
      </c>
      <c r="D304" s="2" t="inlineStr">
        <is>
          <t>South</t>
        </is>
      </c>
      <c r="E304" s="2" t="inlineStr">
        <is>
          <t>Bangalore</t>
        </is>
      </c>
      <c r="F304" s="3" t="inlineStr">
        <is>
          <t>Rahul Sharma</t>
        </is>
      </c>
      <c r="G304" s="3" t="inlineStr">
        <is>
          <t>Electronics</t>
        </is>
      </c>
      <c r="H304" s="2" t="inlineStr">
        <is>
          <t>Smartphone</t>
        </is>
      </c>
      <c r="I304" s="2" t="n">
        <v>19</v>
      </c>
      <c r="J304" s="3" t="n">
        <v>832.75</v>
      </c>
      <c r="K304" s="3" t="n">
        <v>15822.25</v>
      </c>
      <c r="L304" s="3" t="n">
        <v>9493.35</v>
      </c>
      <c r="M304" s="2" t="n">
        <v>6328.9</v>
      </c>
      <c r="N304" s="2" t="inlineStr">
        <is>
          <t>New</t>
        </is>
      </c>
      <c r="O304" s="2" t="inlineStr">
        <is>
          <t>Online</t>
        </is>
      </c>
      <c r="P304" s="3" t="n">
        <v>19354.42</v>
      </c>
      <c r="Q304" s="3" t="n">
        <v>81.75</v>
      </c>
      <c r="R304" s="3" t="inlineStr"/>
    </row>
    <row r="305">
      <c r="A305" s="4" t="inlineStr">
        <is>
          <t>ORD-1304</t>
        </is>
      </c>
      <c r="B305" s="5" t="inlineStr">
        <is>
          <t>12-06-2024</t>
        </is>
      </c>
      <c r="C305" s="5" t="inlineStr">
        <is>
          <t>Jun-2024</t>
        </is>
      </c>
      <c r="D305" s="4" t="inlineStr">
        <is>
          <t>East</t>
        </is>
      </c>
      <c r="E305" s="4" t="inlineStr">
        <is>
          <t>Kolkata</t>
        </is>
      </c>
      <c r="F305" s="5" t="inlineStr">
        <is>
          <t>Deepa Nair</t>
        </is>
      </c>
      <c r="G305" s="5" t="inlineStr">
        <is>
          <t>Software</t>
        </is>
      </c>
      <c r="H305" s="4" t="inlineStr">
        <is>
          <t>ERP Suite</t>
        </is>
      </c>
      <c r="I305" s="4" t="n">
        <v>11</v>
      </c>
      <c r="J305" s="5" t="n">
        <v>4801.77</v>
      </c>
      <c r="K305" s="5" t="n">
        <v>52819.47</v>
      </c>
      <c r="L305" s="5" t="n">
        <v>15845.84</v>
      </c>
      <c r="M305" s="4" t="n">
        <v>36973.63</v>
      </c>
      <c r="N305" s="4" t="inlineStr">
        <is>
          <t>New</t>
        </is>
      </c>
      <c r="O305" s="4" t="inlineStr">
        <is>
          <t>Online</t>
        </is>
      </c>
      <c r="P305" s="5" t="n">
        <v>61596.8</v>
      </c>
      <c r="Q305" s="5" t="n">
        <v>85.75</v>
      </c>
      <c r="R305" s="5" t="inlineStr"/>
    </row>
    <row r="306">
      <c r="A306" s="2" t="inlineStr">
        <is>
          <t>ORD-1305</t>
        </is>
      </c>
      <c r="B306" s="3" t="inlineStr">
        <is>
          <t>13-06-2024</t>
        </is>
      </c>
      <c r="C306" s="3" t="inlineStr">
        <is>
          <t>Jun-2024</t>
        </is>
      </c>
      <c r="D306" s="2" t="inlineStr">
        <is>
          <t>West</t>
        </is>
      </c>
      <c r="E306" s="2" t="inlineStr">
        <is>
          <t>Pune</t>
        </is>
      </c>
      <c r="F306" s="3" t="inlineStr">
        <is>
          <t>Deepa Nair</t>
        </is>
      </c>
      <c r="G306" s="3" t="inlineStr">
        <is>
          <t>Furniture</t>
        </is>
      </c>
      <c r="H306" s="2" t="inlineStr">
        <is>
          <t>Bookshelf</t>
        </is>
      </c>
      <c r="I306" s="2" t="n">
        <v>8</v>
      </c>
      <c r="J306" s="3" t="n">
        <v>206.62</v>
      </c>
      <c r="K306" s="3" t="n">
        <v>1652.96</v>
      </c>
      <c r="L306" s="3" t="n">
        <v>909.13</v>
      </c>
      <c r="M306" s="2" t="n">
        <v>743.83</v>
      </c>
      <c r="N306" s="2" t="inlineStr">
        <is>
          <t>New</t>
        </is>
      </c>
      <c r="O306" s="2" t="inlineStr">
        <is>
          <t>Offline</t>
        </is>
      </c>
      <c r="P306" s="3" t="n">
        <v>1575.95</v>
      </c>
      <c r="Q306" s="3" t="n">
        <v>104.89</v>
      </c>
      <c r="R306" s="3" t="inlineStr"/>
    </row>
    <row r="307">
      <c r="A307" s="4" t="inlineStr">
        <is>
          <t>ORD-1306</t>
        </is>
      </c>
      <c r="B307" s="5" t="inlineStr">
        <is>
          <t>13-06-2024</t>
        </is>
      </c>
      <c r="C307" s="5" t="inlineStr">
        <is>
          <t>Jun-2024</t>
        </is>
      </c>
      <c r="D307" s="4" t="inlineStr">
        <is>
          <t>East</t>
        </is>
      </c>
      <c r="E307" s="4" t="inlineStr">
        <is>
          <t>Kolkata</t>
        </is>
      </c>
      <c r="F307" s="5" t="inlineStr">
        <is>
          <t>Arjun Mehta</t>
        </is>
      </c>
      <c r="G307" s="5" t="inlineStr">
        <is>
          <t>Electronics</t>
        </is>
      </c>
      <c r="H307" s="4" t="inlineStr">
        <is>
          <t>Smartwatch</t>
        </is>
      </c>
      <c r="I307" s="4" t="n">
        <v>19</v>
      </c>
      <c r="J307" s="5" t="n">
        <v>271.94</v>
      </c>
      <c r="K307" s="5" t="n">
        <v>5166.86</v>
      </c>
      <c r="L307" s="5" t="n">
        <v>3100.12</v>
      </c>
      <c r="M307" s="4" t="n">
        <v>2066.74</v>
      </c>
      <c r="N307" s="4" t="inlineStr">
        <is>
          <t>Existing</t>
        </is>
      </c>
      <c r="O307" s="4" t="inlineStr">
        <is>
          <t>Online</t>
        </is>
      </c>
      <c r="P307" s="5" t="n">
        <v>5785.97</v>
      </c>
      <c r="Q307" s="5" t="n">
        <v>89.3</v>
      </c>
      <c r="R307" s="5" t="inlineStr"/>
    </row>
    <row r="308">
      <c r="A308" s="2" t="inlineStr">
        <is>
          <t>ORD-1307</t>
        </is>
      </c>
      <c r="B308" s="3" t="inlineStr">
        <is>
          <t>14-06-2024</t>
        </is>
      </c>
      <c r="C308" s="3" t="inlineStr">
        <is>
          <t>Jun-2024</t>
        </is>
      </c>
      <c r="D308" s="2" t="inlineStr">
        <is>
          <t>West</t>
        </is>
      </c>
      <c r="E308" s="2" t="inlineStr">
        <is>
          <t>Mumbai</t>
        </is>
      </c>
      <c r="F308" s="3" t="inlineStr">
        <is>
          <t>Deepa Nair</t>
        </is>
      </c>
      <c r="G308" s="3" t="inlineStr">
        <is>
          <t>Electronics</t>
        </is>
      </c>
      <c r="H308" s="2" t="inlineStr">
        <is>
          <t>Smartphone</t>
        </is>
      </c>
      <c r="I308" s="2" t="n">
        <v>12</v>
      </c>
      <c r="J308" s="3" t="n">
        <v>877.1799999999999</v>
      </c>
      <c r="K308" s="3" t="n">
        <v>10526.16</v>
      </c>
      <c r="L308" s="3" t="n">
        <v>6315.7</v>
      </c>
      <c r="M308" s="2" t="n">
        <v>4210.46</v>
      </c>
      <c r="N308" s="2" t="inlineStr">
        <is>
          <t>New</t>
        </is>
      </c>
      <c r="O308" s="2" t="inlineStr">
        <is>
          <t>Online</t>
        </is>
      </c>
      <c r="P308" s="3" t="n">
        <v>12745.4</v>
      </c>
      <c r="Q308" s="3" t="n">
        <v>82.59</v>
      </c>
      <c r="R308" s="3" t="inlineStr"/>
    </row>
    <row r="309">
      <c r="A309" s="4" t="inlineStr">
        <is>
          <t>ORD-1308</t>
        </is>
      </c>
      <c r="B309" s="5" t="inlineStr">
        <is>
          <t>15-06-2024</t>
        </is>
      </c>
      <c r="C309" s="5" t="inlineStr">
        <is>
          <t>Jun-2024</t>
        </is>
      </c>
      <c r="D309" s="4" t="inlineStr">
        <is>
          <t>East</t>
        </is>
      </c>
      <c r="E309" s="4" t="inlineStr">
        <is>
          <t>Bhubaneswar</t>
        </is>
      </c>
      <c r="F309" s="5" t="inlineStr">
        <is>
          <t>Rahul Sharma</t>
        </is>
      </c>
      <c r="G309" s="5" t="inlineStr">
        <is>
          <t>Apparel</t>
        </is>
      </c>
      <c r="H309" s="4" t="inlineStr">
        <is>
          <t>Formal Shirt</t>
        </is>
      </c>
      <c r="I309" s="4" t="n">
        <v>8</v>
      </c>
      <c r="J309" s="5" t="n">
        <v>83.09</v>
      </c>
      <c r="K309" s="5" t="n">
        <v>664.72</v>
      </c>
      <c r="L309" s="5" t="n">
        <v>299.12</v>
      </c>
      <c r="M309" s="4" t="n">
        <v>365.6</v>
      </c>
      <c r="N309" s="4" t="inlineStr">
        <is>
          <t>Existing</t>
        </is>
      </c>
      <c r="O309" s="4" t="inlineStr">
        <is>
          <t>Offline</t>
        </is>
      </c>
      <c r="P309" s="5" t="n">
        <v>793.35</v>
      </c>
      <c r="Q309" s="5" t="n">
        <v>83.79000000000001</v>
      </c>
      <c r="R309" s="5" t="inlineStr"/>
    </row>
    <row r="310">
      <c r="A310" s="2" t="inlineStr">
        <is>
          <t>ORD-1309</t>
        </is>
      </c>
      <c r="B310" s="3" t="inlineStr">
        <is>
          <t>15-06-2024</t>
        </is>
      </c>
      <c r="C310" s="3" t="inlineStr">
        <is>
          <t>Jun-2024</t>
        </is>
      </c>
      <c r="D310" s="2" t="inlineStr">
        <is>
          <t>North</t>
        </is>
      </c>
      <c r="E310" s="2" t="inlineStr">
        <is>
          <t>Delhi</t>
        </is>
      </c>
      <c r="F310" s="3" t="inlineStr">
        <is>
          <t>Amit Kumar</t>
        </is>
      </c>
      <c r="G310" s="3" t="inlineStr">
        <is>
          <t>Software</t>
        </is>
      </c>
      <c r="H310" s="2" t="inlineStr">
        <is>
          <t>HR System</t>
        </is>
      </c>
      <c r="I310" s="2" t="n">
        <v>6</v>
      </c>
      <c r="J310" s="3" t="n">
        <v>2153.82</v>
      </c>
      <c r="K310" s="3" t="n">
        <v>12922.92</v>
      </c>
      <c r="L310" s="3" t="n">
        <v>3876.88</v>
      </c>
      <c r="M310" s="2" t="n">
        <v>9046.040000000001</v>
      </c>
      <c r="N310" s="2" t="inlineStr">
        <is>
          <t>Existing</t>
        </is>
      </c>
      <c r="O310" s="2" t="inlineStr">
        <is>
          <t>Offline</t>
        </is>
      </c>
      <c r="P310" s="3" t="n">
        <v>12607.8</v>
      </c>
      <c r="Q310" s="3" t="n">
        <v>102.5</v>
      </c>
      <c r="R310" s="3" t="inlineStr"/>
    </row>
    <row r="311">
      <c r="A311" s="4" t="inlineStr">
        <is>
          <t>ORD-1310</t>
        </is>
      </c>
      <c r="B311" s="5" t="inlineStr">
        <is>
          <t>15-06-2024</t>
        </is>
      </c>
      <c r="C311" s="5" t="inlineStr">
        <is>
          <t>Jun-2024</t>
        </is>
      </c>
      <c r="D311" s="4" t="inlineStr">
        <is>
          <t>West</t>
        </is>
      </c>
      <c r="E311" s="4" t="inlineStr">
        <is>
          <t>Mumbai</t>
        </is>
      </c>
      <c r="F311" s="5" t="inlineStr">
        <is>
          <t>Pooja Joshi</t>
        </is>
      </c>
      <c r="G311" s="5" t="inlineStr">
        <is>
          <t>Furniture</t>
        </is>
      </c>
      <c r="H311" s="4" t="inlineStr">
        <is>
          <t>Desk</t>
        </is>
      </c>
      <c r="I311" s="4" t="n">
        <v>15</v>
      </c>
      <c r="J311" s="5" t="n">
        <v>411.63</v>
      </c>
      <c r="K311" s="5" t="n">
        <v>6174.45</v>
      </c>
      <c r="L311" s="5" t="n">
        <v>3395.95</v>
      </c>
      <c r="M311" s="4" t="n">
        <v>2778.5</v>
      </c>
      <c r="N311" s="4" t="inlineStr">
        <is>
          <t>New</t>
        </is>
      </c>
      <c r="O311" s="4" t="inlineStr">
        <is>
          <t>Offline</t>
        </is>
      </c>
      <c r="P311" s="5" t="n">
        <v>5001.55</v>
      </c>
      <c r="Q311" s="5" t="n">
        <v>123.45</v>
      </c>
      <c r="R311" s="5" t="inlineStr"/>
    </row>
    <row r="312">
      <c r="A312" s="2" t="inlineStr">
        <is>
          <t>ORD-1311</t>
        </is>
      </c>
      <c r="B312" s="3" t="inlineStr">
        <is>
          <t>16-06-2024</t>
        </is>
      </c>
      <c r="C312" s="3" t="inlineStr">
        <is>
          <t>Jun-2024</t>
        </is>
      </c>
      <c r="D312" s="2" t="inlineStr">
        <is>
          <t>North</t>
        </is>
      </c>
      <c r="E312" s="2" t="inlineStr">
        <is>
          <t>Delhi</t>
        </is>
      </c>
      <c r="F312" s="3" t="inlineStr">
        <is>
          <t>Deepa Nair</t>
        </is>
      </c>
      <c r="G312" s="3" t="inlineStr">
        <is>
          <t>Furniture</t>
        </is>
      </c>
      <c r="H312" s="2" t="inlineStr">
        <is>
          <t>Cabinet</t>
        </is>
      </c>
      <c r="I312" s="2" t="n">
        <v>6</v>
      </c>
      <c r="J312" s="3" t="n">
        <v>313.92</v>
      </c>
      <c r="K312" s="3" t="n">
        <v>1883.52</v>
      </c>
      <c r="L312" s="3" t="n">
        <v>1035.94</v>
      </c>
      <c r="M312" s="2" t="n">
        <v>847.58</v>
      </c>
      <c r="N312" s="2" t="inlineStr">
        <is>
          <t>New</t>
        </is>
      </c>
      <c r="O312" s="2" t="inlineStr">
        <is>
          <t>Offline</t>
        </is>
      </c>
      <c r="P312" s="3" t="n">
        <v>2066.25</v>
      </c>
      <c r="Q312" s="3" t="n">
        <v>91.16</v>
      </c>
      <c r="R312" s="3" t="inlineStr"/>
    </row>
    <row r="313">
      <c r="A313" s="4" t="inlineStr">
        <is>
          <t>ORD-1312</t>
        </is>
      </c>
      <c r="B313" s="5" t="inlineStr">
        <is>
          <t>17-06-2024</t>
        </is>
      </c>
      <c r="C313" s="5" t="inlineStr">
        <is>
          <t>Jun-2024</t>
        </is>
      </c>
      <c r="D313" s="4" t="inlineStr">
        <is>
          <t>West</t>
        </is>
      </c>
      <c r="E313" s="4" t="inlineStr">
        <is>
          <t>Pune</t>
        </is>
      </c>
      <c r="F313" s="5" t="inlineStr">
        <is>
          <t>Rahul Sharma</t>
        </is>
      </c>
      <c r="G313" s="5" t="inlineStr">
        <is>
          <t>Software</t>
        </is>
      </c>
      <c r="H313" s="4" t="inlineStr">
        <is>
          <t>CRM Tool</t>
        </is>
      </c>
      <c r="I313" s="4" t="n">
        <v>20</v>
      </c>
      <c r="J313" s="5" t="n">
        <v>3233.85</v>
      </c>
      <c r="K313" s="5" t="n">
        <v>64677</v>
      </c>
      <c r="L313" s="5" t="n">
        <v>19403.1</v>
      </c>
      <c r="M313" s="4" t="n">
        <v>45273.9</v>
      </c>
      <c r="N313" s="4" t="inlineStr">
        <is>
          <t>New</t>
        </is>
      </c>
      <c r="O313" s="4" t="inlineStr">
        <is>
          <t>Online</t>
        </is>
      </c>
      <c r="P313" s="5" t="n">
        <v>55016.13</v>
      </c>
      <c r="Q313" s="5" t="n">
        <v>117.56</v>
      </c>
      <c r="R313" s="5" t="inlineStr"/>
    </row>
    <row r="314">
      <c r="A314" s="2" t="inlineStr">
        <is>
          <t>ORD-1313</t>
        </is>
      </c>
      <c r="B314" s="3" t="inlineStr">
        <is>
          <t>17-06-2024</t>
        </is>
      </c>
      <c r="C314" s="3" t="inlineStr">
        <is>
          <t>Jun-2024</t>
        </is>
      </c>
      <c r="D314" s="2" t="inlineStr">
        <is>
          <t>South</t>
        </is>
      </c>
      <c r="E314" s="2" t="inlineStr">
        <is>
          <t>Chennai</t>
        </is>
      </c>
      <c r="F314" s="3" t="inlineStr">
        <is>
          <t>Amit Kumar</t>
        </is>
      </c>
      <c r="G314" s="3" t="inlineStr">
        <is>
          <t>Apparel</t>
        </is>
      </c>
      <c r="H314" s="2" t="inlineStr">
        <is>
          <t>T-Shirt</t>
        </is>
      </c>
      <c r="I314" s="2" t="n">
        <v>10</v>
      </c>
      <c r="J314" s="3" t="n">
        <v>37.9</v>
      </c>
      <c r="K314" s="3" t="n">
        <v>379</v>
      </c>
      <c r="L314" s="3" t="n">
        <v>170.55</v>
      </c>
      <c r="M314" s="2" t="n">
        <v>208.45</v>
      </c>
      <c r="N314" s="2" t="inlineStr">
        <is>
          <t>New</t>
        </is>
      </c>
      <c r="O314" s="2" t="inlineStr">
        <is>
          <t>Offline</t>
        </is>
      </c>
      <c r="P314" s="3" t="n">
        <v>411.55</v>
      </c>
      <c r="Q314" s="3" t="n">
        <v>92.09</v>
      </c>
      <c r="R314" s="3" t="inlineStr"/>
    </row>
    <row r="315">
      <c r="A315" s="4" t="inlineStr">
        <is>
          <t>ORD-1314</t>
        </is>
      </c>
      <c r="B315" s="5" t="inlineStr">
        <is>
          <t>17-06-2024</t>
        </is>
      </c>
      <c r="C315" s="5" t="inlineStr">
        <is>
          <t>Jun-2024</t>
        </is>
      </c>
      <c r="D315" s="4" t="inlineStr">
        <is>
          <t>West</t>
        </is>
      </c>
      <c r="E315" s="4" t="inlineStr">
        <is>
          <t>Mumbai</t>
        </is>
      </c>
      <c r="F315" s="5" t="inlineStr">
        <is>
          <t>Rahul Sharma</t>
        </is>
      </c>
      <c r="G315" s="5" t="inlineStr">
        <is>
          <t>Apparel</t>
        </is>
      </c>
      <c r="H315" s="4" t="inlineStr">
        <is>
          <t>Jacket</t>
        </is>
      </c>
      <c r="I315" s="4" t="n">
        <v>14</v>
      </c>
      <c r="J315" s="5" t="n">
        <v>110.1</v>
      </c>
      <c r="K315" s="5" t="n">
        <v>1541.4</v>
      </c>
      <c r="L315" s="5" t="n">
        <v>693.63</v>
      </c>
      <c r="M315" s="4" t="n">
        <v>847.77</v>
      </c>
      <c r="N315" s="4" t="inlineStr">
        <is>
          <t>Existing</t>
        </is>
      </c>
      <c r="O315" s="4" t="inlineStr">
        <is>
          <t>Online</t>
        </is>
      </c>
      <c r="P315" s="5" t="n">
        <v>1307.87</v>
      </c>
      <c r="Q315" s="5" t="n">
        <v>117.86</v>
      </c>
      <c r="R315" s="5" t="inlineStr"/>
    </row>
    <row r="316">
      <c r="A316" s="2" t="inlineStr">
        <is>
          <t>ORD-1315</t>
        </is>
      </c>
      <c r="B316" s="3" t="inlineStr">
        <is>
          <t>18-06-2024</t>
        </is>
      </c>
      <c r="C316" s="3" t="inlineStr">
        <is>
          <t>Jun-2024</t>
        </is>
      </c>
      <c r="D316" s="2" t="inlineStr">
        <is>
          <t>South</t>
        </is>
      </c>
      <c r="E316" s="2" t="inlineStr">
        <is>
          <t>Hyderabad</t>
        </is>
      </c>
      <c r="F316" s="3" t="inlineStr">
        <is>
          <t>Vikram Singh</t>
        </is>
      </c>
      <c r="G316" s="3" t="inlineStr">
        <is>
          <t>Electronics</t>
        </is>
      </c>
      <c r="H316" s="2" t="inlineStr">
        <is>
          <t>Smartwatch</t>
        </is>
      </c>
      <c r="I316" s="2" t="n">
        <v>4</v>
      </c>
      <c r="J316" s="3" t="n">
        <v>288.5</v>
      </c>
      <c r="K316" s="3" t="n">
        <v>1154</v>
      </c>
      <c r="L316" s="3" t="n">
        <v>692.4</v>
      </c>
      <c r="M316" s="2" t="n">
        <v>461.6</v>
      </c>
      <c r="N316" s="2" t="inlineStr">
        <is>
          <t>Existing</t>
        </is>
      </c>
      <c r="O316" s="2" t="inlineStr">
        <is>
          <t>Offline</t>
        </is>
      </c>
      <c r="P316" s="3" t="n">
        <v>1205.41</v>
      </c>
      <c r="Q316" s="3" t="n">
        <v>95.73999999999999</v>
      </c>
      <c r="R316" s="3" t="inlineStr"/>
    </row>
    <row r="317">
      <c r="A317" s="4" t="inlineStr">
        <is>
          <t>ORD-1316</t>
        </is>
      </c>
      <c r="B317" s="5" t="inlineStr">
        <is>
          <t>19-06-2024</t>
        </is>
      </c>
      <c r="C317" s="5" t="inlineStr">
        <is>
          <t>Jun-2024</t>
        </is>
      </c>
      <c r="D317" s="4" t="inlineStr">
        <is>
          <t>East</t>
        </is>
      </c>
      <c r="E317" s="4" t="inlineStr">
        <is>
          <t>Kolkata</t>
        </is>
      </c>
      <c r="F317" s="5" t="inlineStr">
        <is>
          <t>Ravi Verma</t>
        </is>
      </c>
      <c r="G317" s="5" t="inlineStr">
        <is>
          <t>Software</t>
        </is>
      </c>
      <c r="H317" s="4" t="inlineStr">
        <is>
          <t>CRM Tool</t>
        </is>
      </c>
      <c r="I317" s="4" t="n">
        <v>12</v>
      </c>
      <c r="J317" s="5" t="n">
        <v>3231.3</v>
      </c>
      <c r="K317" s="5" t="n">
        <v>38775.6</v>
      </c>
      <c r="L317" s="5" t="n">
        <v>11632.68</v>
      </c>
      <c r="M317" s="4" t="n">
        <v>27142.92</v>
      </c>
      <c r="N317" s="4" t="inlineStr">
        <is>
          <t>Existing</t>
        </is>
      </c>
      <c r="O317" s="4" t="inlineStr">
        <is>
          <t>Online</t>
        </is>
      </c>
      <c r="P317" s="5" t="n">
        <v>39663.08</v>
      </c>
      <c r="Q317" s="5" t="n">
        <v>97.76000000000001</v>
      </c>
      <c r="R317" s="5" t="inlineStr"/>
    </row>
    <row r="318">
      <c r="A318" s="2" t="inlineStr">
        <is>
          <t>ORD-1317</t>
        </is>
      </c>
      <c r="B318" s="3" t="inlineStr">
        <is>
          <t>19-06-2024</t>
        </is>
      </c>
      <c r="C318" s="3" t="inlineStr">
        <is>
          <t>Jun-2024</t>
        </is>
      </c>
      <c r="D318" s="2" t="inlineStr">
        <is>
          <t>East</t>
        </is>
      </c>
      <c r="E318" s="2" t="inlineStr">
        <is>
          <t>Bhubaneswar</t>
        </is>
      </c>
      <c r="F318" s="3" t="inlineStr">
        <is>
          <t>Pooja Joshi</t>
        </is>
      </c>
      <c r="G318" s="3" t="inlineStr">
        <is>
          <t>Apparel</t>
        </is>
      </c>
      <c r="H318" s="2" t="inlineStr">
        <is>
          <t>Formal Shirt</t>
        </is>
      </c>
      <c r="I318" s="2" t="n">
        <v>9</v>
      </c>
      <c r="J318" s="3" t="n">
        <v>81.03</v>
      </c>
      <c r="K318" s="3" t="n">
        <v>729.27</v>
      </c>
      <c r="L318" s="3" t="n">
        <v>328.17</v>
      </c>
      <c r="M318" s="2" t="n">
        <v>401.1</v>
      </c>
      <c r="N318" s="2" t="inlineStr">
        <is>
          <t>New</t>
        </is>
      </c>
      <c r="O318" s="2" t="inlineStr">
        <is>
          <t>Online</t>
        </is>
      </c>
      <c r="P318" s="3" t="n">
        <v>614.67</v>
      </c>
      <c r="Q318" s="3" t="n">
        <v>118.64</v>
      </c>
      <c r="R318" s="3" t="inlineStr"/>
    </row>
    <row r="319">
      <c r="A319" s="4" t="inlineStr">
        <is>
          <t>ORD-1318</t>
        </is>
      </c>
      <c r="B319" s="5" t="inlineStr">
        <is>
          <t>19-06-2024</t>
        </is>
      </c>
      <c r="C319" s="5" t="inlineStr">
        <is>
          <t>Jun-2024</t>
        </is>
      </c>
      <c r="D319" s="4" t="inlineStr">
        <is>
          <t>East</t>
        </is>
      </c>
      <c r="E319" s="4" t="inlineStr">
        <is>
          <t>Patna</t>
        </is>
      </c>
      <c r="F319" s="5" t="inlineStr">
        <is>
          <t>Amit Kumar</t>
        </is>
      </c>
      <c r="G319" s="5" t="inlineStr">
        <is>
          <t>Furniture</t>
        </is>
      </c>
      <c r="H319" s="4" t="inlineStr">
        <is>
          <t>Office Chair</t>
        </is>
      </c>
      <c r="I319" s="4" t="n">
        <v>13</v>
      </c>
      <c r="J319" s="5" t="n">
        <v>372.29</v>
      </c>
      <c r="K319" s="5" t="n">
        <v>4839.77</v>
      </c>
      <c r="L319" s="5" t="n">
        <v>2661.87</v>
      </c>
      <c r="M319" s="4" t="n">
        <v>2177.9</v>
      </c>
      <c r="N319" s="4" t="inlineStr">
        <is>
          <t>Existing</t>
        </is>
      </c>
      <c r="O319" s="4" t="inlineStr">
        <is>
          <t>Offline</t>
        </is>
      </c>
      <c r="P319" s="5" t="n">
        <v>5257.72</v>
      </c>
      <c r="Q319" s="5" t="n">
        <v>92.05</v>
      </c>
      <c r="R319" s="5" t="inlineStr"/>
    </row>
    <row r="320">
      <c r="A320" s="2" t="inlineStr">
        <is>
          <t>ORD-1319</t>
        </is>
      </c>
      <c r="B320" s="3" t="inlineStr">
        <is>
          <t>20-06-2024</t>
        </is>
      </c>
      <c r="C320" s="3" t="inlineStr">
        <is>
          <t>Jun-2024</t>
        </is>
      </c>
      <c r="D320" s="2" t="inlineStr">
        <is>
          <t>West</t>
        </is>
      </c>
      <c r="E320" s="2" t="inlineStr">
        <is>
          <t>Ahmedabad</t>
        </is>
      </c>
      <c r="F320" s="3" t="inlineStr">
        <is>
          <t>Priya Patel</t>
        </is>
      </c>
      <c r="G320" s="3" t="inlineStr">
        <is>
          <t>Software</t>
        </is>
      </c>
      <c r="H320" s="2" t="inlineStr">
        <is>
          <t>ERP Suite</t>
        </is>
      </c>
      <c r="I320" s="2" t="n">
        <v>17</v>
      </c>
      <c r="J320" s="3" t="n">
        <v>5071.22</v>
      </c>
      <c r="K320" s="3" t="n">
        <v>86210.74000000001</v>
      </c>
      <c r="L320" s="3" t="n">
        <v>25863.22</v>
      </c>
      <c r="M320" s="2" t="n">
        <v>60347.52</v>
      </c>
      <c r="N320" s="2" t="inlineStr">
        <is>
          <t>New</t>
        </is>
      </c>
      <c r="O320" s="2" t="inlineStr">
        <is>
          <t>Online</t>
        </is>
      </c>
      <c r="P320" s="3" t="n">
        <v>109886.57</v>
      </c>
      <c r="Q320" s="3" t="n">
        <v>78.45</v>
      </c>
      <c r="R320" s="3" t="inlineStr"/>
    </row>
    <row r="321">
      <c r="A321" s="4" t="inlineStr">
        <is>
          <t>ORD-1320</t>
        </is>
      </c>
      <c r="B321" s="5" t="inlineStr">
        <is>
          <t>21-06-2024</t>
        </is>
      </c>
      <c r="C321" s="5" t="inlineStr">
        <is>
          <t>Jun-2024</t>
        </is>
      </c>
      <c r="D321" s="4" t="inlineStr">
        <is>
          <t>South</t>
        </is>
      </c>
      <c r="E321" s="4" t="inlineStr">
        <is>
          <t>Chennai</t>
        </is>
      </c>
      <c r="F321" s="5" t="inlineStr">
        <is>
          <t>Sneha Reddy</t>
        </is>
      </c>
      <c r="G321" s="5" t="inlineStr">
        <is>
          <t>Furniture</t>
        </is>
      </c>
      <c r="H321" s="4" t="inlineStr">
        <is>
          <t>Desk</t>
        </is>
      </c>
      <c r="I321" s="4" t="n">
        <v>2</v>
      </c>
      <c r="J321" s="5" t="n">
        <v>443.1</v>
      </c>
      <c r="K321" s="5" t="n">
        <v>886.2</v>
      </c>
      <c r="L321" s="5" t="n">
        <v>487.41</v>
      </c>
      <c r="M321" s="4" t="n">
        <v>398.79</v>
      </c>
      <c r="N321" s="4" t="inlineStr">
        <is>
          <t>Existing</t>
        </is>
      </c>
      <c r="O321" s="4" t="inlineStr">
        <is>
          <t>Online</t>
        </is>
      </c>
      <c r="P321" s="5" t="n">
        <v>1150.85</v>
      </c>
      <c r="Q321" s="5" t="n">
        <v>77</v>
      </c>
      <c r="R321" s="5" t="inlineStr"/>
    </row>
    <row r="322">
      <c r="A322" s="2" t="inlineStr">
        <is>
          <t>ORD-1321</t>
        </is>
      </c>
      <c r="B322" s="3" t="inlineStr">
        <is>
          <t>21-06-2024</t>
        </is>
      </c>
      <c r="C322" s="3" t="inlineStr">
        <is>
          <t>Jun-2024</t>
        </is>
      </c>
      <c r="D322" s="2" t="inlineStr">
        <is>
          <t>South</t>
        </is>
      </c>
      <c r="E322" s="2" t="inlineStr">
        <is>
          <t>Hyderabad</t>
        </is>
      </c>
      <c r="F322" s="3" t="inlineStr">
        <is>
          <t>Vikram Singh</t>
        </is>
      </c>
      <c r="G322" s="3" t="inlineStr">
        <is>
          <t>Apparel</t>
        </is>
      </c>
      <c r="H322" s="2" t="inlineStr">
        <is>
          <t>Jacket</t>
        </is>
      </c>
      <c r="I322" s="2" t="n">
        <v>3</v>
      </c>
      <c r="J322" s="3" t="n">
        <v>117.31</v>
      </c>
      <c r="K322" s="3" t="n">
        <v>351.93</v>
      </c>
      <c r="L322" s="3" t="n">
        <v>158.37</v>
      </c>
      <c r="M322" s="2" t="n">
        <v>193.56</v>
      </c>
      <c r="N322" s="2" t="inlineStr">
        <is>
          <t>Existing</t>
        </is>
      </c>
      <c r="O322" s="2" t="inlineStr">
        <is>
          <t>Offline</t>
        </is>
      </c>
      <c r="P322" s="3" t="n">
        <v>432.28</v>
      </c>
      <c r="Q322" s="3" t="n">
        <v>81.41</v>
      </c>
      <c r="R322" s="3" t="inlineStr"/>
    </row>
    <row r="323">
      <c r="A323" s="4" t="inlineStr">
        <is>
          <t>ORD-1322</t>
        </is>
      </c>
      <c r="B323" s="5" t="inlineStr">
        <is>
          <t>22-06-2024</t>
        </is>
      </c>
      <c r="C323" s="5" t="inlineStr">
        <is>
          <t>Jun-2024</t>
        </is>
      </c>
      <c r="D323" s="4" t="inlineStr">
        <is>
          <t>West</t>
        </is>
      </c>
      <c r="E323" s="4" t="inlineStr">
        <is>
          <t>Mumbai</t>
        </is>
      </c>
      <c r="F323" s="5" t="inlineStr">
        <is>
          <t>Kavita Rao</t>
        </is>
      </c>
      <c r="G323" s="5" t="inlineStr">
        <is>
          <t>Software</t>
        </is>
      </c>
      <c r="H323" s="4" t="inlineStr">
        <is>
          <t>ERP Suite</t>
        </is>
      </c>
      <c r="I323" s="4" t="n">
        <v>14</v>
      </c>
      <c r="J323" s="5" t="n">
        <v>4649.64</v>
      </c>
      <c r="K323" s="5" t="n">
        <v>65094.96</v>
      </c>
      <c r="L323" s="5" t="n">
        <v>19528.49</v>
      </c>
      <c r="M323" s="4" t="n">
        <v>45566.47</v>
      </c>
      <c r="N323" s="4" t="inlineStr">
        <is>
          <t>New</t>
        </is>
      </c>
      <c r="O323" s="4" t="inlineStr">
        <is>
          <t>Online</t>
        </is>
      </c>
      <c r="P323" s="5" t="n">
        <v>70389.91</v>
      </c>
      <c r="Q323" s="5" t="n">
        <v>92.48</v>
      </c>
      <c r="R323" s="5" t="inlineStr"/>
    </row>
    <row r="324">
      <c r="A324" s="2" t="inlineStr">
        <is>
          <t>ORD-1323</t>
        </is>
      </c>
      <c r="B324" s="3" t="inlineStr">
        <is>
          <t>22-06-2024</t>
        </is>
      </c>
      <c r="C324" s="3" t="inlineStr">
        <is>
          <t>Jun-2024</t>
        </is>
      </c>
      <c r="D324" s="2" t="inlineStr">
        <is>
          <t>North</t>
        </is>
      </c>
      <c r="E324" s="2" t="inlineStr">
        <is>
          <t>Chandigarh</t>
        </is>
      </c>
      <c r="F324" s="3" t="inlineStr">
        <is>
          <t>Ravi Verma</t>
        </is>
      </c>
      <c r="G324" s="3" t="inlineStr">
        <is>
          <t>Apparel</t>
        </is>
      </c>
      <c r="H324" s="2" t="inlineStr">
        <is>
          <t>Trousers</t>
        </is>
      </c>
      <c r="I324" s="2" t="n">
        <v>9</v>
      </c>
      <c r="J324" s="3" t="n">
        <v>68.36</v>
      </c>
      <c r="K324" s="3" t="n">
        <v>615.24</v>
      </c>
      <c r="L324" s="3" t="n">
        <v>276.86</v>
      </c>
      <c r="M324" s="2" t="n">
        <v>338.38</v>
      </c>
      <c r="N324" s="2" t="inlineStr">
        <is>
          <t>Existing</t>
        </is>
      </c>
      <c r="O324" s="2" t="inlineStr">
        <is>
          <t>Offline</t>
        </is>
      </c>
      <c r="P324" s="3" t="n">
        <v>503.72</v>
      </c>
      <c r="Q324" s="3" t="n">
        <v>122.14</v>
      </c>
      <c r="R324" s="3" t="inlineStr"/>
    </row>
    <row r="325">
      <c r="A325" s="4" t="inlineStr">
        <is>
          <t>ORD-1324</t>
        </is>
      </c>
      <c r="B325" s="5" t="inlineStr">
        <is>
          <t>22-06-2024</t>
        </is>
      </c>
      <c r="C325" s="5" t="inlineStr">
        <is>
          <t>Jun-2024</t>
        </is>
      </c>
      <c r="D325" s="4" t="inlineStr">
        <is>
          <t>East</t>
        </is>
      </c>
      <c r="E325" s="4" t="inlineStr">
        <is>
          <t>Bhubaneswar</t>
        </is>
      </c>
      <c r="F325" s="5" t="inlineStr">
        <is>
          <t>Arjun Mehta</t>
        </is>
      </c>
      <c r="G325" s="5" t="inlineStr">
        <is>
          <t>Software</t>
        </is>
      </c>
      <c r="H325" s="4" t="inlineStr">
        <is>
          <t>ERP Suite</t>
        </is>
      </c>
      <c r="I325" s="4" t="n">
        <v>13</v>
      </c>
      <c r="J325" s="5" t="n">
        <v>5389.57</v>
      </c>
      <c r="K325" s="5" t="n">
        <v>70064.41</v>
      </c>
      <c r="L325" s="5" t="n">
        <v>21019.32</v>
      </c>
      <c r="M325" s="4" t="n">
        <v>49045.09</v>
      </c>
      <c r="N325" s="4" t="inlineStr">
        <is>
          <t>Existing</t>
        </is>
      </c>
      <c r="O325" s="4" t="inlineStr">
        <is>
          <t>Online</t>
        </is>
      </c>
      <c r="P325" s="5" t="n">
        <v>57778.3</v>
      </c>
      <c r="Q325" s="5" t="n">
        <v>121.26</v>
      </c>
      <c r="R325" s="5" t="inlineStr"/>
    </row>
    <row r="326">
      <c r="A326" s="2" t="inlineStr">
        <is>
          <t>ORD-1325</t>
        </is>
      </c>
      <c r="B326" s="3" t="inlineStr">
        <is>
          <t>23-06-2024</t>
        </is>
      </c>
      <c r="C326" s="3" t="inlineStr">
        <is>
          <t>Jun-2024</t>
        </is>
      </c>
      <c r="D326" s="2" t="inlineStr">
        <is>
          <t>East</t>
        </is>
      </c>
      <c r="E326" s="2" t="inlineStr">
        <is>
          <t>Bhubaneswar</t>
        </is>
      </c>
      <c r="F326" s="3" t="inlineStr">
        <is>
          <t>Rahul Sharma</t>
        </is>
      </c>
      <c r="G326" s="3" t="inlineStr">
        <is>
          <t>Apparel</t>
        </is>
      </c>
      <c r="H326" s="2" t="inlineStr">
        <is>
          <t>T-Shirt</t>
        </is>
      </c>
      <c r="I326" s="2" t="n">
        <v>10</v>
      </c>
      <c r="J326" s="3" t="n">
        <v>38.24</v>
      </c>
      <c r="K326" s="3" t="n">
        <v>382.4</v>
      </c>
      <c r="L326" s="3" t="n">
        <v>172.08</v>
      </c>
      <c r="M326" s="2" t="n">
        <v>210.32</v>
      </c>
      <c r="N326" s="2" t="inlineStr">
        <is>
          <t>Existing</t>
        </is>
      </c>
      <c r="O326" s="2" t="inlineStr">
        <is>
          <t>Online</t>
        </is>
      </c>
      <c r="P326" s="3" t="n">
        <v>491.86</v>
      </c>
      <c r="Q326" s="3" t="n">
        <v>77.75</v>
      </c>
      <c r="R326" s="3" t="inlineStr"/>
    </row>
    <row r="327">
      <c r="A327" s="4" t="inlineStr">
        <is>
          <t>ORD-1326</t>
        </is>
      </c>
      <c r="B327" s="5" t="inlineStr">
        <is>
          <t>24-06-2024</t>
        </is>
      </c>
      <c r="C327" s="5" t="inlineStr">
        <is>
          <t>Jun-2024</t>
        </is>
      </c>
      <c r="D327" s="4" t="inlineStr">
        <is>
          <t>South</t>
        </is>
      </c>
      <c r="E327" s="4" t="inlineStr">
        <is>
          <t>Bangalore</t>
        </is>
      </c>
      <c r="F327" s="5" t="inlineStr">
        <is>
          <t>Pooja Joshi</t>
        </is>
      </c>
      <c r="G327" s="5" t="inlineStr">
        <is>
          <t>Apparel</t>
        </is>
      </c>
      <c r="H327" s="4" t="inlineStr">
        <is>
          <t>T-Shirt</t>
        </is>
      </c>
      <c r="I327" s="4" t="n">
        <v>14</v>
      </c>
      <c r="J327" s="5" t="n">
        <v>40.84</v>
      </c>
      <c r="K327" s="5" t="n">
        <v>571.76</v>
      </c>
      <c r="L327" s="5" t="n">
        <v>257.29</v>
      </c>
      <c r="M327" s="4" t="n">
        <v>314.47</v>
      </c>
      <c r="N327" s="4" t="inlineStr">
        <is>
          <t>New</t>
        </is>
      </c>
      <c r="O327" s="4" t="inlineStr">
        <is>
          <t>Online</t>
        </is>
      </c>
      <c r="P327" s="5" t="n">
        <v>583.6900000000001</v>
      </c>
      <c r="Q327" s="5" t="n">
        <v>97.95999999999999</v>
      </c>
      <c r="R327" s="5" t="inlineStr"/>
    </row>
    <row r="328">
      <c r="A328" s="2" t="inlineStr">
        <is>
          <t>ORD-1327</t>
        </is>
      </c>
      <c r="B328" s="3" t="inlineStr">
        <is>
          <t>25-06-2024</t>
        </is>
      </c>
      <c r="C328" s="3" t="inlineStr">
        <is>
          <t>Jun-2024</t>
        </is>
      </c>
      <c r="D328" s="2" t="inlineStr">
        <is>
          <t>West</t>
        </is>
      </c>
      <c r="E328" s="2" t="inlineStr">
        <is>
          <t>Pune</t>
        </is>
      </c>
      <c r="F328" s="3" t="inlineStr">
        <is>
          <t>Deepa Nair</t>
        </is>
      </c>
      <c r="G328" s="3" t="inlineStr">
        <is>
          <t>Electronics</t>
        </is>
      </c>
      <c r="H328" s="2" t="inlineStr">
        <is>
          <t>Smartphone</t>
        </is>
      </c>
      <c r="I328" s="2" t="n">
        <v>3</v>
      </c>
      <c r="J328" s="3" t="n">
        <v>769.78</v>
      </c>
      <c r="K328" s="3" t="n">
        <v>2309.34</v>
      </c>
      <c r="L328" s="3" t="n">
        <v>1385.6</v>
      </c>
      <c r="M328" s="2" t="n">
        <v>923.74</v>
      </c>
      <c r="N328" s="2" t="inlineStr">
        <is>
          <t>Existing</t>
        </is>
      </c>
      <c r="O328" s="2" t="inlineStr">
        <is>
          <t>Online</t>
        </is>
      </c>
      <c r="P328" s="3" t="n">
        <v>2748.71</v>
      </c>
      <c r="Q328" s="3" t="n">
        <v>84.02</v>
      </c>
      <c r="R328" s="3" t="inlineStr"/>
    </row>
    <row r="329">
      <c r="A329" s="4" t="inlineStr">
        <is>
          <t>ORD-1328</t>
        </is>
      </c>
      <c r="B329" s="5" t="inlineStr">
        <is>
          <t>25-06-2024</t>
        </is>
      </c>
      <c r="C329" s="5" t="inlineStr">
        <is>
          <t>Jun-2024</t>
        </is>
      </c>
      <c r="D329" s="4" t="inlineStr">
        <is>
          <t>North</t>
        </is>
      </c>
      <c r="E329" s="4" t="inlineStr">
        <is>
          <t>Delhi</t>
        </is>
      </c>
      <c r="F329" s="5" t="inlineStr">
        <is>
          <t>Sneha Reddy</t>
        </is>
      </c>
      <c r="G329" s="5" t="inlineStr">
        <is>
          <t>Furniture</t>
        </is>
      </c>
      <c r="H329" s="4" t="inlineStr">
        <is>
          <t>Office Chair</t>
        </is>
      </c>
      <c r="I329" s="4" t="n">
        <v>8</v>
      </c>
      <c r="J329" s="5" t="n">
        <v>317.31</v>
      </c>
      <c r="K329" s="5" t="n">
        <v>2538.48</v>
      </c>
      <c r="L329" s="5" t="n">
        <v>1396.16</v>
      </c>
      <c r="M329" s="4" t="n">
        <v>1142.32</v>
      </c>
      <c r="N329" s="4" t="inlineStr">
        <is>
          <t>New</t>
        </is>
      </c>
      <c r="O329" s="4" t="inlineStr">
        <is>
          <t>Offline</t>
        </is>
      </c>
      <c r="P329" s="5" t="n">
        <v>2925.13</v>
      </c>
      <c r="Q329" s="5" t="n">
        <v>86.78</v>
      </c>
      <c r="R329" s="5" t="inlineStr"/>
    </row>
    <row r="330">
      <c r="A330" s="2" t="inlineStr">
        <is>
          <t>ORD-1329</t>
        </is>
      </c>
      <c r="B330" s="3" t="inlineStr">
        <is>
          <t>26-06-2024</t>
        </is>
      </c>
      <c r="C330" s="3" t="inlineStr">
        <is>
          <t>Jun-2024</t>
        </is>
      </c>
      <c r="D330" s="2" t="inlineStr">
        <is>
          <t>East</t>
        </is>
      </c>
      <c r="E330" s="2" t="inlineStr">
        <is>
          <t>Bhubaneswar</t>
        </is>
      </c>
      <c r="F330" s="3" t="inlineStr">
        <is>
          <t>Ravi Verma</t>
        </is>
      </c>
      <c r="G330" s="3" t="inlineStr">
        <is>
          <t>Software</t>
        </is>
      </c>
      <c r="H330" s="2" t="inlineStr">
        <is>
          <t>ERP Suite</t>
        </is>
      </c>
      <c r="I330" s="2" t="n">
        <v>1</v>
      </c>
      <c r="J330" s="3" t="n">
        <v>4741.94</v>
      </c>
      <c r="K330" s="3" t="n">
        <v>4741.94</v>
      </c>
      <c r="L330" s="3" t="n">
        <v>1422.58</v>
      </c>
      <c r="M330" s="2" t="n">
        <v>3319.36</v>
      </c>
      <c r="N330" s="2" t="inlineStr">
        <is>
          <t>Existing</t>
        </is>
      </c>
      <c r="O330" s="2" t="inlineStr">
        <is>
          <t>Offline</t>
        </is>
      </c>
      <c r="P330" s="3" t="n">
        <v>4214.6</v>
      </c>
      <c r="Q330" s="3" t="n">
        <v>112.51</v>
      </c>
      <c r="R330" s="3" t="inlineStr"/>
    </row>
    <row r="331">
      <c r="A331" s="4" t="inlineStr">
        <is>
          <t>ORD-1330</t>
        </is>
      </c>
      <c r="B331" s="5" t="inlineStr">
        <is>
          <t>26-06-2024</t>
        </is>
      </c>
      <c r="C331" s="5" t="inlineStr">
        <is>
          <t>Jun-2024</t>
        </is>
      </c>
      <c r="D331" s="4" t="inlineStr">
        <is>
          <t>West</t>
        </is>
      </c>
      <c r="E331" s="4" t="inlineStr">
        <is>
          <t>Pune</t>
        </is>
      </c>
      <c r="F331" s="5" t="inlineStr">
        <is>
          <t>Ravi Verma</t>
        </is>
      </c>
      <c r="G331" s="5" t="inlineStr">
        <is>
          <t>Apparel</t>
        </is>
      </c>
      <c r="H331" s="4" t="inlineStr">
        <is>
          <t>T-Shirt</t>
        </is>
      </c>
      <c r="I331" s="4" t="n">
        <v>6</v>
      </c>
      <c r="J331" s="5" t="n">
        <v>42.7</v>
      </c>
      <c r="K331" s="5" t="n">
        <v>256.2</v>
      </c>
      <c r="L331" s="5" t="n">
        <v>115.29</v>
      </c>
      <c r="M331" s="4" t="n">
        <v>140.91</v>
      </c>
      <c r="N331" s="4" t="inlineStr">
        <is>
          <t>Existing</t>
        </is>
      </c>
      <c r="O331" s="4" t="inlineStr">
        <is>
          <t>Online</t>
        </is>
      </c>
      <c r="P331" s="5" t="n">
        <v>241.48</v>
      </c>
      <c r="Q331" s="5" t="n">
        <v>106.1</v>
      </c>
      <c r="R331" s="5" t="inlineStr"/>
    </row>
    <row r="332">
      <c r="A332" s="2" t="inlineStr">
        <is>
          <t>ORD-1331</t>
        </is>
      </c>
      <c r="B332" s="3" t="inlineStr">
        <is>
          <t>27-06-2024</t>
        </is>
      </c>
      <c r="C332" s="3" t="inlineStr">
        <is>
          <t>Jun-2024</t>
        </is>
      </c>
      <c r="D332" s="2" t="inlineStr">
        <is>
          <t>North</t>
        </is>
      </c>
      <c r="E332" s="2" t="inlineStr">
        <is>
          <t>Delhi</t>
        </is>
      </c>
      <c r="F332" s="3" t="inlineStr">
        <is>
          <t>Kavita Rao</t>
        </is>
      </c>
      <c r="G332" s="3" t="inlineStr">
        <is>
          <t>Furniture</t>
        </is>
      </c>
      <c r="H332" s="2" t="inlineStr">
        <is>
          <t>Desk</t>
        </is>
      </c>
      <c r="I332" s="2" t="n">
        <v>8</v>
      </c>
      <c r="J332" s="3" t="n">
        <v>465.99</v>
      </c>
      <c r="K332" s="3" t="n">
        <v>3727.92</v>
      </c>
      <c r="L332" s="3" t="n">
        <v>2050.36</v>
      </c>
      <c r="M332" s="2" t="n">
        <v>1677.56</v>
      </c>
      <c r="N332" s="2" t="inlineStr">
        <is>
          <t>Existing</t>
        </is>
      </c>
      <c r="O332" s="2" t="inlineStr">
        <is>
          <t>Offline</t>
        </is>
      </c>
      <c r="P332" s="3" t="n">
        <v>3939.07</v>
      </c>
      <c r="Q332" s="3" t="n">
        <v>94.64</v>
      </c>
      <c r="R332" s="3" t="inlineStr"/>
    </row>
    <row r="333">
      <c r="A333" s="4" t="inlineStr">
        <is>
          <t>ORD-1332</t>
        </is>
      </c>
      <c r="B333" s="5" t="inlineStr">
        <is>
          <t>27-06-2024</t>
        </is>
      </c>
      <c r="C333" s="5" t="inlineStr">
        <is>
          <t>Jun-2024</t>
        </is>
      </c>
      <c r="D333" s="4" t="inlineStr">
        <is>
          <t>North</t>
        </is>
      </c>
      <c r="E333" s="4" t="inlineStr">
        <is>
          <t>Chandigarh</t>
        </is>
      </c>
      <c r="F333" s="5" t="inlineStr">
        <is>
          <t>Arjun Mehta</t>
        </is>
      </c>
      <c r="G333" s="5" t="inlineStr">
        <is>
          <t>Furniture</t>
        </is>
      </c>
      <c r="H333" s="4" t="inlineStr">
        <is>
          <t>Office Chair</t>
        </is>
      </c>
      <c r="I333" s="4" t="n">
        <v>8</v>
      </c>
      <c r="J333" s="5" t="n">
        <v>332.67</v>
      </c>
      <c r="K333" s="5" t="n">
        <v>2661.36</v>
      </c>
      <c r="L333" s="5" t="n">
        <v>1463.75</v>
      </c>
      <c r="M333" s="4" t="n">
        <v>1197.61</v>
      </c>
      <c r="N333" s="4" t="inlineStr">
        <is>
          <t>Existing</t>
        </is>
      </c>
      <c r="O333" s="4" t="inlineStr">
        <is>
          <t>Offline</t>
        </is>
      </c>
      <c r="P333" s="5" t="n">
        <v>2693.04</v>
      </c>
      <c r="Q333" s="5" t="n">
        <v>98.81999999999999</v>
      </c>
      <c r="R333" s="5" t="inlineStr"/>
    </row>
    <row r="334">
      <c r="A334" s="2" t="inlineStr">
        <is>
          <t>ORD-1333</t>
        </is>
      </c>
      <c r="B334" s="3" t="inlineStr">
        <is>
          <t>28-06-2024</t>
        </is>
      </c>
      <c r="C334" s="3" t="inlineStr">
        <is>
          <t>Jun-2024</t>
        </is>
      </c>
      <c r="D334" s="2" t="inlineStr">
        <is>
          <t>East</t>
        </is>
      </c>
      <c r="E334" s="2" t="inlineStr">
        <is>
          <t>Bhubaneswar</t>
        </is>
      </c>
      <c r="F334" s="3" t="inlineStr">
        <is>
          <t>Vikram Singh</t>
        </is>
      </c>
      <c r="G334" s="3" t="inlineStr">
        <is>
          <t>Furniture</t>
        </is>
      </c>
      <c r="H334" s="2" t="inlineStr">
        <is>
          <t>Cabinet</t>
        </is>
      </c>
      <c r="I334" s="2" t="n">
        <v>10</v>
      </c>
      <c r="J334" s="3" t="n">
        <v>310.63</v>
      </c>
      <c r="K334" s="3" t="n">
        <v>3106.3</v>
      </c>
      <c r="L334" s="3" t="n">
        <v>1708.47</v>
      </c>
      <c r="M334" s="2" t="n">
        <v>1397.83</v>
      </c>
      <c r="N334" s="2" t="inlineStr">
        <is>
          <t>Existing</t>
        </is>
      </c>
      <c r="O334" s="2" t="inlineStr">
        <is>
          <t>Online</t>
        </is>
      </c>
      <c r="P334" s="3" t="n">
        <v>2496.45</v>
      </c>
      <c r="Q334" s="3" t="n">
        <v>124.43</v>
      </c>
      <c r="R334" s="3" t="inlineStr"/>
    </row>
    <row r="335">
      <c r="A335" s="4" t="inlineStr">
        <is>
          <t>ORD-1334</t>
        </is>
      </c>
      <c r="B335" s="5" t="inlineStr">
        <is>
          <t>28-06-2024</t>
        </is>
      </c>
      <c r="C335" s="5" t="inlineStr">
        <is>
          <t>Jun-2024</t>
        </is>
      </c>
      <c r="D335" s="4" t="inlineStr">
        <is>
          <t>East</t>
        </is>
      </c>
      <c r="E335" s="4" t="inlineStr">
        <is>
          <t>Patna</t>
        </is>
      </c>
      <c r="F335" s="5" t="inlineStr">
        <is>
          <t>Kavita Rao</t>
        </is>
      </c>
      <c r="G335" s="5" t="inlineStr">
        <is>
          <t>Apparel</t>
        </is>
      </c>
      <c r="H335" s="4" t="inlineStr">
        <is>
          <t>T-Shirt</t>
        </is>
      </c>
      <c r="I335" s="4" t="n">
        <v>4</v>
      </c>
      <c r="J335" s="5" t="n">
        <v>39.85</v>
      </c>
      <c r="K335" s="5" t="n">
        <v>159.4</v>
      </c>
      <c r="L335" s="5" t="n">
        <v>71.73</v>
      </c>
      <c r="M335" s="4" t="n">
        <v>87.67</v>
      </c>
      <c r="N335" s="4" t="inlineStr">
        <is>
          <t>Existing</t>
        </is>
      </c>
      <c r="O335" s="4" t="inlineStr">
        <is>
          <t>Offline</t>
        </is>
      </c>
      <c r="P335" s="5" t="n">
        <v>178.58</v>
      </c>
      <c r="Q335" s="5" t="n">
        <v>89.26000000000001</v>
      </c>
      <c r="R335" s="5" t="inlineStr"/>
    </row>
    <row r="336">
      <c r="A336" s="2" t="inlineStr">
        <is>
          <t>ORD-1335</t>
        </is>
      </c>
      <c r="B336" s="3" t="inlineStr">
        <is>
          <t>29-06-2024</t>
        </is>
      </c>
      <c r="C336" s="3" t="inlineStr">
        <is>
          <t>Jun-2024</t>
        </is>
      </c>
      <c r="D336" s="2" t="inlineStr">
        <is>
          <t>East</t>
        </is>
      </c>
      <c r="E336" s="2" t="inlineStr">
        <is>
          <t>Patna</t>
        </is>
      </c>
      <c r="F336" s="3" t="inlineStr">
        <is>
          <t>Vikram Singh</t>
        </is>
      </c>
      <c r="G336" s="3" t="inlineStr">
        <is>
          <t>Furniture</t>
        </is>
      </c>
      <c r="H336" s="2" t="inlineStr">
        <is>
          <t>Desk</t>
        </is>
      </c>
      <c r="I336" s="2" t="n">
        <v>17</v>
      </c>
      <c r="J336" s="3" t="n">
        <v>473.89</v>
      </c>
      <c r="K336" s="3" t="n">
        <v>8056.13</v>
      </c>
      <c r="L336" s="3" t="n">
        <v>4430.87</v>
      </c>
      <c r="M336" s="2" t="n">
        <v>3625.26</v>
      </c>
      <c r="N336" s="2" t="inlineStr">
        <is>
          <t>New</t>
        </is>
      </c>
      <c r="O336" s="2" t="inlineStr">
        <is>
          <t>Offline</t>
        </is>
      </c>
      <c r="P336" s="3" t="n">
        <v>9105.559999999999</v>
      </c>
      <c r="Q336" s="3" t="n">
        <v>88.47</v>
      </c>
      <c r="R336" s="3" t="inlineStr"/>
    </row>
    <row r="337">
      <c r="A337" s="4" t="inlineStr">
        <is>
          <t>ORD-1336</t>
        </is>
      </c>
      <c r="B337" s="5" t="inlineStr">
        <is>
          <t>29-06-2024</t>
        </is>
      </c>
      <c r="C337" s="5" t="inlineStr">
        <is>
          <t>Jun-2024</t>
        </is>
      </c>
      <c r="D337" s="4" t="inlineStr">
        <is>
          <t>South</t>
        </is>
      </c>
      <c r="E337" s="4" t="inlineStr">
        <is>
          <t>Hyderabad</t>
        </is>
      </c>
      <c r="F337" s="5" t="inlineStr">
        <is>
          <t>Rahul Sharma</t>
        </is>
      </c>
      <c r="G337" s="5" t="inlineStr">
        <is>
          <t>Software</t>
        </is>
      </c>
      <c r="H337" s="4" t="inlineStr">
        <is>
          <t>Analytics Pro</t>
        </is>
      </c>
      <c r="I337" s="4" t="n">
        <v>9</v>
      </c>
      <c r="J337" s="5" t="n">
        <v>2703.46</v>
      </c>
      <c r="K337" s="5" t="n">
        <v>24331.14</v>
      </c>
      <c r="L337" s="5" t="n">
        <v>7299.34</v>
      </c>
      <c r="M337" s="4" t="n">
        <v>17031.8</v>
      </c>
      <c r="N337" s="4" t="inlineStr">
        <is>
          <t>Existing</t>
        </is>
      </c>
      <c r="O337" s="4" t="inlineStr">
        <is>
          <t>Offline</t>
        </is>
      </c>
      <c r="P337" s="5" t="n">
        <v>28427.68</v>
      </c>
      <c r="Q337" s="5" t="n">
        <v>85.59</v>
      </c>
      <c r="R337" s="5" t="inlineStr"/>
    </row>
    <row r="338">
      <c r="A338" s="2" t="inlineStr">
        <is>
          <t>ORD-1337</t>
        </is>
      </c>
      <c r="B338" s="3" t="inlineStr">
        <is>
          <t>01-07-2024</t>
        </is>
      </c>
      <c r="C338" s="3" t="inlineStr">
        <is>
          <t>Jul-2024</t>
        </is>
      </c>
      <c r="D338" s="2" t="inlineStr">
        <is>
          <t>South</t>
        </is>
      </c>
      <c r="E338" s="2" t="inlineStr">
        <is>
          <t>Hyderabad</t>
        </is>
      </c>
      <c r="F338" s="3" t="inlineStr">
        <is>
          <t>Ravi Verma</t>
        </is>
      </c>
      <c r="G338" s="3" t="inlineStr">
        <is>
          <t>Software</t>
        </is>
      </c>
      <c r="H338" s="2" t="inlineStr">
        <is>
          <t>Analytics Pro</t>
        </is>
      </c>
      <c r="I338" s="2" t="n">
        <v>17</v>
      </c>
      <c r="J338" s="3" t="n">
        <v>2400.1</v>
      </c>
      <c r="K338" s="3" t="n">
        <v>40801.7</v>
      </c>
      <c r="L338" s="3" t="n">
        <v>12240.51</v>
      </c>
      <c r="M338" s="2" t="n">
        <v>28561.19</v>
      </c>
      <c r="N338" s="2" t="inlineStr">
        <is>
          <t>New</t>
        </is>
      </c>
      <c r="O338" s="2" t="inlineStr">
        <is>
          <t>Online</t>
        </is>
      </c>
      <c r="P338" s="3" t="n">
        <v>38634.8</v>
      </c>
      <c r="Q338" s="3" t="n">
        <v>105.61</v>
      </c>
      <c r="R338" s="3" t="inlineStr"/>
    </row>
    <row r="339">
      <c r="A339" s="4" t="inlineStr">
        <is>
          <t>ORD-1338</t>
        </is>
      </c>
      <c r="B339" s="5" t="inlineStr">
        <is>
          <t>01-07-2024</t>
        </is>
      </c>
      <c r="C339" s="5" t="inlineStr">
        <is>
          <t>Jul-2024</t>
        </is>
      </c>
      <c r="D339" s="4" t="inlineStr">
        <is>
          <t>West</t>
        </is>
      </c>
      <c r="E339" s="4" t="inlineStr">
        <is>
          <t>Mumbai</t>
        </is>
      </c>
      <c r="F339" s="5" t="inlineStr">
        <is>
          <t>Vikram Singh</t>
        </is>
      </c>
      <c r="G339" s="5" t="inlineStr">
        <is>
          <t>Furniture</t>
        </is>
      </c>
      <c r="H339" s="4" t="inlineStr">
        <is>
          <t>Bookshelf</t>
        </is>
      </c>
      <c r="I339" s="4" t="n">
        <v>3</v>
      </c>
      <c r="J339" s="5" t="n">
        <v>188.89</v>
      </c>
      <c r="K339" s="5" t="n">
        <v>566.67</v>
      </c>
      <c r="L339" s="5" t="n">
        <v>311.67</v>
      </c>
      <c r="M339" s="4" t="n">
        <v>255</v>
      </c>
      <c r="N339" s="4" t="inlineStr">
        <is>
          <t>New</t>
        </is>
      </c>
      <c r="O339" s="4" t="inlineStr">
        <is>
          <t>Offline</t>
        </is>
      </c>
      <c r="P339" s="5" t="n">
        <v>572.47</v>
      </c>
      <c r="Q339" s="5" t="n">
        <v>98.98999999999999</v>
      </c>
      <c r="R339" s="5" t="inlineStr"/>
    </row>
    <row r="340">
      <c r="A340" s="2" t="inlineStr">
        <is>
          <t>ORD-1339</t>
        </is>
      </c>
      <c r="B340" s="3" t="inlineStr">
        <is>
          <t>02-07-2024</t>
        </is>
      </c>
      <c r="C340" s="3" t="inlineStr">
        <is>
          <t>Jul-2024</t>
        </is>
      </c>
      <c r="D340" s="2" t="inlineStr">
        <is>
          <t>East</t>
        </is>
      </c>
      <c r="E340" s="2" t="inlineStr">
        <is>
          <t>Bhubaneswar</t>
        </is>
      </c>
      <c r="F340" s="3" t="inlineStr">
        <is>
          <t>Kavita Rao</t>
        </is>
      </c>
      <c r="G340" s="3" t="inlineStr">
        <is>
          <t>Apparel</t>
        </is>
      </c>
      <c r="H340" s="2" t="inlineStr">
        <is>
          <t>Trousers</t>
        </is>
      </c>
      <c r="I340" s="2" t="n">
        <v>4</v>
      </c>
      <c r="J340" s="3" t="n">
        <v>69.59</v>
      </c>
      <c r="K340" s="3" t="n">
        <v>278.36</v>
      </c>
      <c r="L340" s="3" t="n">
        <v>125.26</v>
      </c>
      <c r="M340" s="2" t="n">
        <v>153.1</v>
      </c>
      <c r="N340" s="2" t="inlineStr">
        <is>
          <t>New</t>
        </is>
      </c>
      <c r="O340" s="2" t="inlineStr">
        <is>
          <t>Offline</t>
        </is>
      </c>
      <c r="P340" s="3" t="n">
        <v>346.48</v>
      </c>
      <c r="Q340" s="3" t="n">
        <v>80.34</v>
      </c>
      <c r="R340" s="3" t="inlineStr"/>
    </row>
    <row r="341">
      <c r="A341" s="4" t="inlineStr">
        <is>
          <t>ORD-1340</t>
        </is>
      </c>
      <c r="B341" s="5" t="inlineStr">
        <is>
          <t>02-07-2024</t>
        </is>
      </c>
      <c r="C341" s="5" t="inlineStr">
        <is>
          <t>Jul-2024</t>
        </is>
      </c>
      <c r="D341" s="4" t="inlineStr">
        <is>
          <t>North</t>
        </is>
      </c>
      <c r="E341" s="4" t="inlineStr">
        <is>
          <t>Lucknow</t>
        </is>
      </c>
      <c r="F341" s="5" t="inlineStr">
        <is>
          <t>Amit Kumar</t>
        </is>
      </c>
      <c r="G341" s="5" t="inlineStr">
        <is>
          <t>Apparel</t>
        </is>
      </c>
      <c r="H341" s="4" t="inlineStr">
        <is>
          <t>Trousers</t>
        </is>
      </c>
      <c r="I341" s="4" t="n">
        <v>2</v>
      </c>
      <c r="J341" s="5" t="n">
        <v>75.19</v>
      </c>
      <c r="K341" s="5" t="n">
        <v>150.38</v>
      </c>
      <c r="L341" s="5" t="n">
        <v>67.67</v>
      </c>
      <c r="M341" s="4" t="n">
        <v>82.70999999999999</v>
      </c>
      <c r="N341" s="4" t="inlineStr">
        <is>
          <t>New</t>
        </is>
      </c>
      <c r="O341" s="4" t="inlineStr">
        <is>
          <t>Online</t>
        </is>
      </c>
      <c r="P341" s="5" t="n">
        <v>194.92</v>
      </c>
      <c r="Q341" s="5" t="n">
        <v>77.15000000000001</v>
      </c>
      <c r="R341" s="5" t="inlineStr"/>
    </row>
    <row r="342">
      <c r="A342" s="2" t="inlineStr">
        <is>
          <t>ORD-1341</t>
        </is>
      </c>
      <c r="B342" s="3" t="inlineStr">
        <is>
          <t>03-07-2024</t>
        </is>
      </c>
      <c r="C342" s="3" t="inlineStr">
        <is>
          <t>Jul-2024</t>
        </is>
      </c>
      <c r="D342" s="2" t="inlineStr">
        <is>
          <t>West</t>
        </is>
      </c>
      <c r="E342" s="2" t="inlineStr">
        <is>
          <t>Pune</t>
        </is>
      </c>
      <c r="F342" s="3" t="inlineStr">
        <is>
          <t>Pooja Joshi</t>
        </is>
      </c>
      <c r="G342" s="3" t="inlineStr">
        <is>
          <t>Furniture</t>
        </is>
      </c>
      <c r="H342" s="2" t="inlineStr">
        <is>
          <t>Bookshelf</t>
        </is>
      </c>
      <c r="I342" s="2" t="n">
        <v>6</v>
      </c>
      <c r="J342" s="3" t="n">
        <v>211.16</v>
      </c>
      <c r="K342" s="3" t="n">
        <v>1266.96</v>
      </c>
      <c r="L342" s="3" t="n">
        <v>696.83</v>
      </c>
      <c r="M342" s="2" t="n">
        <v>570.13</v>
      </c>
      <c r="N342" s="2" t="inlineStr">
        <is>
          <t>Existing</t>
        </is>
      </c>
      <c r="O342" s="2" t="inlineStr">
        <is>
          <t>Offline</t>
        </is>
      </c>
      <c r="P342" s="3" t="n">
        <v>1413.31</v>
      </c>
      <c r="Q342" s="3" t="n">
        <v>89.64</v>
      </c>
      <c r="R342" s="3" t="inlineStr"/>
    </row>
    <row r="343">
      <c r="A343" s="4" t="inlineStr">
        <is>
          <t>ORD-1342</t>
        </is>
      </c>
      <c r="B343" s="5" t="inlineStr">
        <is>
          <t>03-07-2024</t>
        </is>
      </c>
      <c r="C343" s="5" t="inlineStr">
        <is>
          <t>Jul-2024</t>
        </is>
      </c>
      <c r="D343" s="4" t="inlineStr">
        <is>
          <t>South</t>
        </is>
      </c>
      <c r="E343" s="4" t="inlineStr">
        <is>
          <t>Bangalore</t>
        </is>
      </c>
      <c r="F343" s="5" t="inlineStr">
        <is>
          <t>Rahul Sharma</t>
        </is>
      </c>
      <c r="G343" s="5" t="inlineStr">
        <is>
          <t>Electronics</t>
        </is>
      </c>
      <c r="H343" s="4" t="inlineStr">
        <is>
          <t>Smartwatch</t>
        </is>
      </c>
      <c r="I343" s="4" t="n">
        <v>9</v>
      </c>
      <c r="J343" s="5" t="n">
        <v>282.56</v>
      </c>
      <c r="K343" s="5" t="n">
        <v>2543.04</v>
      </c>
      <c r="L343" s="5" t="n">
        <v>1525.82</v>
      </c>
      <c r="M343" s="4" t="n">
        <v>1017.22</v>
      </c>
      <c r="N343" s="4" t="inlineStr">
        <is>
          <t>New</t>
        </is>
      </c>
      <c r="O343" s="4" t="inlineStr">
        <is>
          <t>Online</t>
        </is>
      </c>
      <c r="P343" s="5" t="n">
        <v>2656.94</v>
      </c>
      <c r="Q343" s="5" t="n">
        <v>95.70999999999999</v>
      </c>
      <c r="R343" s="5" t="inlineStr"/>
    </row>
    <row r="344">
      <c r="A344" s="2" t="inlineStr">
        <is>
          <t>ORD-1343</t>
        </is>
      </c>
      <c r="B344" s="3" t="inlineStr">
        <is>
          <t>04-07-2024</t>
        </is>
      </c>
      <c r="C344" s="3" t="inlineStr">
        <is>
          <t>Jul-2024</t>
        </is>
      </c>
      <c r="D344" s="2" t="inlineStr">
        <is>
          <t>South</t>
        </is>
      </c>
      <c r="E344" s="2" t="inlineStr">
        <is>
          <t>Hyderabad</t>
        </is>
      </c>
      <c r="F344" s="3" t="inlineStr">
        <is>
          <t>Amit Kumar</t>
        </is>
      </c>
      <c r="G344" s="3" t="inlineStr">
        <is>
          <t>Software</t>
        </is>
      </c>
      <c r="H344" s="2" t="inlineStr">
        <is>
          <t>HR System</t>
        </is>
      </c>
      <c r="I344" s="2" t="n">
        <v>14</v>
      </c>
      <c r="J344" s="3" t="n">
        <v>2186.13</v>
      </c>
      <c r="K344" s="3" t="n">
        <v>30605.82</v>
      </c>
      <c r="L344" s="3" t="n">
        <v>9181.75</v>
      </c>
      <c r="M344" s="2" t="n">
        <v>21424.07</v>
      </c>
      <c r="N344" s="2" t="inlineStr">
        <is>
          <t>Existing</t>
        </is>
      </c>
      <c r="O344" s="2" t="inlineStr">
        <is>
          <t>Online</t>
        </is>
      </c>
      <c r="P344" s="3" t="n">
        <v>25061.96</v>
      </c>
      <c r="Q344" s="3" t="n">
        <v>122.12</v>
      </c>
      <c r="R344" s="3" t="inlineStr"/>
    </row>
    <row r="345">
      <c r="A345" s="4" t="inlineStr">
        <is>
          <t>ORD-1344</t>
        </is>
      </c>
      <c r="B345" s="5" t="inlineStr">
        <is>
          <t>05-07-2024</t>
        </is>
      </c>
      <c r="C345" s="5" t="inlineStr">
        <is>
          <t>Jul-2024</t>
        </is>
      </c>
      <c r="D345" s="4" t="inlineStr">
        <is>
          <t>East</t>
        </is>
      </c>
      <c r="E345" s="4" t="inlineStr">
        <is>
          <t>Kolkata</t>
        </is>
      </c>
      <c r="F345" s="5" t="inlineStr">
        <is>
          <t>Deepa Nair</t>
        </is>
      </c>
      <c r="G345" s="5" t="inlineStr">
        <is>
          <t>Furniture</t>
        </is>
      </c>
      <c r="H345" s="4" t="inlineStr">
        <is>
          <t>Office Chair</t>
        </is>
      </c>
      <c r="I345" s="4" t="n">
        <v>1</v>
      </c>
      <c r="J345" s="5" t="n">
        <v>358.87</v>
      </c>
      <c r="K345" s="5" t="n">
        <v>358.87</v>
      </c>
      <c r="L345" s="5" t="n">
        <v>197.38</v>
      </c>
      <c r="M345" s="4" t="n">
        <v>161.49</v>
      </c>
      <c r="N345" s="4" t="inlineStr">
        <is>
          <t>New</t>
        </is>
      </c>
      <c r="O345" s="4" t="inlineStr">
        <is>
          <t>Online</t>
        </is>
      </c>
      <c r="P345" s="5" t="n">
        <v>411.54</v>
      </c>
      <c r="Q345" s="5" t="n">
        <v>87.2</v>
      </c>
      <c r="R345" s="5" t="inlineStr"/>
    </row>
    <row r="346">
      <c r="A346" s="2" t="inlineStr">
        <is>
          <t>ORD-1345</t>
        </is>
      </c>
      <c r="B346" s="3" t="inlineStr">
        <is>
          <t>06-07-2024</t>
        </is>
      </c>
      <c r="C346" s="3" t="inlineStr">
        <is>
          <t>Jul-2024</t>
        </is>
      </c>
      <c r="D346" s="2" t="inlineStr">
        <is>
          <t>East</t>
        </is>
      </c>
      <c r="E346" s="2" t="inlineStr">
        <is>
          <t>Kolkata</t>
        </is>
      </c>
      <c r="F346" s="3" t="inlineStr">
        <is>
          <t>Priya Patel</t>
        </is>
      </c>
      <c r="G346" s="3" t="inlineStr">
        <is>
          <t>Software</t>
        </is>
      </c>
      <c r="H346" s="2" t="inlineStr">
        <is>
          <t>Analytics Pro</t>
        </is>
      </c>
      <c r="I346" s="2" t="n">
        <v>6</v>
      </c>
      <c r="J346" s="3" t="n">
        <v>2282.64</v>
      </c>
      <c r="K346" s="3" t="n">
        <v>13695.84</v>
      </c>
      <c r="L346" s="3" t="n">
        <v>4108.75</v>
      </c>
      <c r="M346" s="2" t="n">
        <v>9587.09</v>
      </c>
      <c r="N346" s="2" t="inlineStr">
        <is>
          <t>New</t>
        </is>
      </c>
      <c r="O346" s="2" t="inlineStr">
        <is>
          <t>Offline</t>
        </is>
      </c>
      <c r="P346" s="3" t="n">
        <v>17451.67</v>
      </c>
      <c r="Q346" s="3" t="n">
        <v>78.48</v>
      </c>
      <c r="R346" s="3" t="inlineStr"/>
    </row>
    <row r="347">
      <c r="A347" s="4" t="inlineStr">
        <is>
          <t>ORD-1346</t>
        </is>
      </c>
      <c r="B347" s="5" t="inlineStr">
        <is>
          <t>06-07-2024</t>
        </is>
      </c>
      <c r="C347" s="5" t="inlineStr">
        <is>
          <t>Jul-2024</t>
        </is>
      </c>
      <c r="D347" s="4" t="inlineStr">
        <is>
          <t>West</t>
        </is>
      </c>
      <c r="E347" s="4" t="inlineStr">
        <is>
          <t>Pune</t>
        </is>
      </c>
      <c r="F347" s="5" t="inlineStr">
        <is>
          <t>Ravi Verma</t>
        </is>
      </c>
      <c r="G347" s="5" t="inlineStr">
        <is>
          <t>Apparel</t>
        </is>
      </c>
      <c r="H347" s="4" t="inlineStr">
        <is>
          <t>Trousers</t>
        </is>
      </c>
      <c r="I347" s="4" t="n">
        <v>5</v>
      </c>
      <c r="J347" s="5" t="n">
        <v>67.8</v>
      </c>
      <c r="K347" s="5" t="n">
        <v>339</v>
      </c>
      <c r="L347" s="5" t="n">
        <v>152.55</v>
      </c>
      <c r="M347" s="4" t="n">
        <v>186.45</v>
      </c>
      <c r="N347" s="4" t="inlineStr">
        <is>
          <t>Existing</t>
        </is>
      </c>
      <c r="O347" s="4" t="inlineStr">
        <is>
          <t>Offline</t>
        </is>
      </c>
      <c r="P347" s="5" t="n">
        <v>398.34</v>
      </c>
      <c r="Q347" s="5" t="n">
        <v>85.09999999999999</v>
      </c>
      <c r="R347" s="5" t="inlineStr"/>
    </row>
    <row r="348">
      <c r="A348" s="2" t="inlineStr">
        <is>
          <t>ORD-1347</t>
        </is>
      </c>
      <c r="B348" s="3" t="inlineStr">
        <is>
          <t>08-07-2024</t>
        </is>
      </c>
      <c r="C348" s="3" t="inlineStr">
        <is>
          <t>Jul-2024</t>
        </is>
      </c>
      <c r="D348" s="2" t="inlineStr">
        <is>
          <t>North</t>
        </is>
      </c>
      <c r="E348" s="2" t="inlineStr">
        <is>
          <t>Delhi</t>
        </is>
      </c>
      <c r="F348" s="3" t="inlineStr">
        <is>
          <t>Sneha Reddy</t>
        </is>
      </c>
      <c r="G348" s="3" t="inlineStr">
        <is>
          <t>Furniture</t>
        </is>
      </c>
      <c r="H348" s="2" t="inlineStr">
        <is>
          <t>Desk</t>
        </is>
      </c>
      <c r="I348" s="2" t="n">
        <v>1</v>
      </c>
      <c r="J348" s="3" t="n">
        <v>458.07</v>
      </c>
      <c r="K348" s="3" t="n">
        <v>458.07</v>
      </c>
      <c r="L348" s="3" t="n">
        <v>251.94</v>
      </c>
      <c r="M348" s="2" t="n">
        <v>206.13</v>
      </c>
      <c r="N348" s="2" t="inlineStr">
        <is>
          <t>New</t>
        </is>
      </c>
      <c r="O348" s="2" t="inlineStr">
        <is>
          <t>Online</t>
        </is>
      </c>
      <c r="P348" s="3" t="n">
        <v>450.42</v>
      </c>
      <c r="Q348" s="3" t="n">
        <v>101.7</v>
      </c>
      <c r="R348" s="3" t="inlineStr"/>
    </row>
    <row r="349">
      <c r="A349" s="4" t="inlineStr">
        <is>
          <t>ORD-1348</t>
        </is>
      </c>
      <c r="B349" s="5" t="inlineStr">
        <is>
          <t>08-07-2024</t>
        </is>
      </c>
      <c r="C349" s="5" t="inlineStr">
        <is>
          <t>Jul-2024</t>
        </is>
      </c>
      <c r="D349" s="4" t="inlineStr">
        <is>
          <t>North</t>
        </is>
      </c>
      <c r="E349" s="4" t="inlineStr">
        <is>
          <t>Chandigarh</t>
        </is>
      </c>
      <c r="F349" s="5" t="inlineStr">
        <is>
          <t>Vikram Singh</t>
        </is>
      </c>
      <c r="G349" s="5" t="inlineStr">
        <is>
          <t>Electronics</t>
        </is>
      </c>
      <c r="H349" s="4" t="inlineStr">
        <is>
          <t>Laptop</t>
        </is>
      </c>
      <c r="I349" s="4" t="n">
        <v>4</v>
      </c>
      <c r="J349" s="5" t="n">
        <v>1236.86</v>
      </c>
      <c r="K349" s="5" t="n">
        <v>4947.44</v>
      </c>
      <c r="L349" s="5" t="n">
        <v>2968.46</v>
      </c>
      <c r="M349" s="4" t="n">
        <v>1978.98</v>
      </c>
      <c r="N349" s="4" t="inlineStr">
        <is>
          <t>New</t>
        </is>
      </c>
      <c r="O349" s="4" t="inlineStr">
        <is>
          <t>Online</t>
        </is>
      </c>
      <c r="P349" s="5" t="n">
        <v>5664.2</v>
      </c>
      <c r="Q349" s="5" t="n">
        <v>87.34999999999999</v>
      </c>
      <c r="R349" s="5" t="inlineStr"/>
    </row>
    <row r="350">
      <c r="A350" s="2" t="inlineStr">
        <is>
          <t>ORD-1349</t>
        </is>
      </c>
      <c r="B350" s="3" t="inlineStr">
        <is>
          <t>09-07-2024</t>
        </is>
      </c>
      <c r="C350" s="3" t="inlineStr">
        <is>
          <t>Jul-2024</t>
        </is>
      </c>
      <c r="D350" s="2" t="inlineStr">
        <is>
          <t>West</t>
        </is>
      </c>
      <c r="E350" s="2" t="inlineStr">
        <is>
          <t>Ahmedabad</t>
        </is>
      </c>
      <c r="F350" s="3" t="inlineStr">
        <is>
          <t>Priya Patel</t>
        </is>
      </c>
      <c r="G350" s="3" t="inlineStr">
        <is>
          <t>Apparel</t>
        </is>
      </c>
      <c r="H350" s="2" t="inlineStr">
        <is>
          <t>Trousers</t>
        </is>
      </c>
      <c r="I350" s="2" t="n">
        <v>5</v>
      </c>
      <c r="J350" s="3" t="n">
        <v>65.88</v>
      </c>
      <c r="K350" s="3" t="n">
        <v>329.4</v>
      </c>
      <c r="L350" s="3" t="n">
        <v>148.23</v>
      </c>
      <c r="M350" s="2" t="n">
        <v>181.17</v>
      </c>
      <c r="N350" s="2" t="inlineStr">
        <is>
          <t>New</t>
        </is>
      </c>
      <c r="O350" s="2" t="inlineStr">
        <is>
          <t>Offline</t>
        </is>
      </c>
      <c r="P350" s="3" t="n">
        <v>332.84</v>
      </c>
      <c r="Q350" s="3" t="n">
        <v>98.97</v>
      </c>
      <c r="R350" s="3" t="inlineStr"/>
    </row>
    <row r="351">
      <c r="A351" s="4" t="inlineStr">
        <is>
          <t>ORD-1350</t>
        </is>
      </c>
      <c r="B351" s="5" t="inlineStr">
        <is>
          <t>09-07-2024</t>
        </is>
      </c>
      <c r="C351" s="5" t="inlineStr">
        <is>
          <t>Jul-2024</t>
        </is>
      </c>
      <c r="D351" s="4" t="inlineStr">
        <is>
          <t>North</t>
        </is>
      </c>
      <c r="E351" s="4" t="inlineStr">
        <is>
          <t>Lucknow</t>
        </is>
      </c>
      <c r="F351" s="5" t="inlineStr">
        <is>
          <t>Ravi Verma</t>
        </is>
      </c>
      <c r="G351" s="5" t="inlineStr">
        <is>
          <t>Apparel</t>
        </is>
      </c>
      <c r="H351" s="4" t="inlineStr">
        <is>
          <t>Formal Shirt</t>
        </is>
      </c>
      <c r="I351" s="4" t="n">
        <v>14</v>
      </c>
      <c r="J351" s="5" t="n">
        <v>85.29000000000001</v>
      </c>
      <c r="K351" s="5" t="n">
        <v>1194.06</v>
      </c>
      <c r="L351" s="5" t="n">
        <v>537.33</v>
      </c>
      <c r="M351" s="4" t="n">
        <v>656.73</v>
      </c>
      <c r="N351" s="4" t="inlineStr">
        <is>
          <t>New</t>
        </is>
      </c>
      <c r="O351" s="4" t="inlineStr">
        <is>
          <t>Online</t>
        </is>
      </c>
      <c r="P351" s="5" t="n">
        <v>1124.03</v>
      </c>
      <c r="Q351" s="5" t="n">
        <v>106.23</v>
      </c>
      <c r="R351" s="5" t="inlineStr"/>
    </row>
    <row r="352">
      <c r="A352" s="2" t="inlineStr">
        <is>
          <t>ORD-1351</t>
        </is>
      </c>
      <c r="B352" s="3" t="inlineStr">
        <is>
          <t>10-07-2024</t>
        </is>
      </c>
      <c r="C352" s="3" t="inlineStr">
        <is>
          <t>Jul-2024</t>
        </is>
      </c>
      <c r="D352" s="2" t="inlineStr">
        <is>
          <t>West</t>
        </is>
      </c>
      <c r="E352" s="2" t="inlineStr">
        <is>
          <t>Mumbai</t>
        </is>
      </c>
      <c r="F352" s="3" t="inlineStr">
        <is>
          <t>Kavita Rao</t>
        </is>
      </c>
      <c r="G352" s="3" t="inlineStr">
        <is>
          <t>Furniture</t>
        </is>
      </c>
      <c r="H352" s="2" t="inlineStr">
        <is>
          <t>Bookshelf</t>
        </is>
      </c>
      <c r="I352" s="2" t="n">
        <v>17</v>
      </c>
      <c r="J352" s="3" t="n">
        <v>218.92</v>
      </c>
      <c r="K352" s="3" t="n">
        <v>3721.64</v>
      </c>
      <c r="L352" s="3" t="n">
        <v>2046.9</v>
      </c>
      <c r="M352" s="2" t="n">
        <v>1674.74</v>
      </c>
      <c r="N352" s="2" t="inlineStr">
        <is>
          <t>Existing</t>
        </is>
      </c>
      <c r="O352" s="2" t="inlineStr">
        <is>
          <t>Offline</t>
        </is>
      </c>
      <c r="P352" s="3" t="n">
        <v>3526.91</v>
      </c>
      <c r="Q352" s="3" t="n">
        <v>105.52</v>
      </c>
      <c r="R352" s="3" t="inlineStr"/>
    </row>
    <row r="353">
      <c r="A353" s="4" t="inlineStr">
        <is>
          <t>ORD-1352</t>
        </is>
      </c>
      <c r="B353" s="5" t="inlineStr">
        <is>
          <t>11-07-2024</t>
        </is>
      </c>
      <c r="C353" s="5" t="inlineStr">
        <is>
          <t>Jul-2024</t>
        </is>
      </c>
      <c r="D353" s="4" t="inlineStr">
        <is>
          <t>West</t>
        </is>
      </c>
      <c r="E353" s="4" t="inlineStr">
        <is>
          <t>Mumbai</t>
        </is>
      </c>
      <c r="F353" s="5" t="inlineStr">
        <is>
          <t>Pooja Joshi</t>
        </is>
      </c>
      <c r="G353" s="5" t="inlineStr">
        <is>
          <t>Apparel</t>
        </is>
      </c>
      <c r="H353" s="4" t="inlineStr">
        <is>
          <t>Formal Shirt</t>
        </is>
      </c>
      <c r="I353" s="4" t="n">
        <v>1</v>
      </c>
      <c r="J353" s="5" t="n">
        <v>72.2</v>
      </c>
      <c r="K353" s="5" t="n">
        <v>72.2</v>
      </c>
      <c r="L353" s="5" t="n">
        <v>32.49</v>
      </c>
      <c r="M353" s="4" t="n">
        <v>39.71</v>
      </c>
      <c r="N353" s="4" t="inlineStr">
        <is>
          <t>New</t>
        </is>
      </c>
      <c r="O353" s="4" t="inlineStr">
        <is>
          <t>Online</t>
        </is>
      </c>
      <c r="P353" s="5" t="n">
        <v>87.91</v>
      </c>
      <c r="Q353" s="5" t="n">
        <v>82.13</v>
      </c>
      <c r="R353" s="5" t="inlineStr"/>
    </row>
    <row r="354">
      <c r="A354" s="2" t="inlineStr">
        <is>
          <t>ORD-1353</t>
        </is>
      </c>
      <c r="B354" s="3" t="inlineStr">
        <is>
          <t>12-07-2024</t>
        </is>
      </c>
      <c r="C354" s="3" t="inlineStr">
        <is>
          <t>Jul-2024</t>
        </is>
      </c>
      <c r="D354" s="2" t="inlineStr">
        <is>
          <t>West</t>
        </is>
      </c>
      <c r="E354" s="2" t="inlineStr">
        <is>
          <t>Mumbai</t>
        </is>
      </c>
      <c r="F354" s="3" t="inlineStr">
        <is>
          <t>Priya Patel</t>
        </is>
      </c>
      <c r="G354" s="3" t="inlineStr">
        <is>
          <t>Electronics</t>
        </is>
      </c>
      <c r="H354" s="2" t="inlineStr">
        <is>
          <t>Laptop</t>
        </is>
      </c>
      <c r="I354" s="2" t="n">
        <v>9</v>
      </c>
      <c r="J354" s="3" t="n">
        <v>1234.64</v>
      </c>
      <c r="K354" s="3" t="n">
        <v>11111.76</v>
      </c>
      <c r="L354" s="3" t="n">
        <v>6667.06</v>
      </c>
      <c r="M354" s="2" t="n">
        <v>4444.7</v>
      </c>
      <c r="N354" s="2" t="inlineStr">
        <is>
          <t>Existing</t>
        </is>
      </c>
      <c r="O354" s="2" t="inlineStr">
        <is>
          <t>Offline</t>
        </is>
      </c>
      <c r="P354" s="3" t="n">
        <v>10356.85</v>
      </c>
      <c r="Q354" s="3" t="n">
        <v>107.29</v>
      </c>
      <c r="R354" s="3" t="inlineStr"/>
    </row>
    <row r="355">
      <c r="A355" s="4" t="inlineStr">
        <is>
          <t>ORD-1354</t>
        </is>
      </c>
      <c r="B355" s="5" t="inlineStr">
        <is>
          <t>12-07-2024</t>
        </is>
      </c>
      <c r="C355" s="5" t="inlineStr">
        <is>
          <t>Jul-2024</t>
        </is>
      </c>
      <c r="D355" s="4" t="inlineStr">
        <is>
          <t>North</t>
        </is>
      </c>
      <c r="E355" s="4" t="inlineStr">
        <is>
          <t>Delhi</t>
        </is>
      </c>
      <c r="F355" s="5" t="inlineStr">
        <is>
          <t>Arjun Mehta</t>
        </is>
      </c>
      <c r="G355" s="5" t="inlineStr">
        <is>
          <t>Electronics</t>
        </is>
      </c>
      <c r="H355" s="4" t="inlineStr">
        <is>
          <t>Tablet</t>
        </is>
      </c>
      <c r="I355" s="4" t="n">
        <v>12</v>
      </c>
      <c r="J355" s="5" t="n">
        <v>636.1900000000001</v>
      </c>
      <c r="K355" s="5" t="n">
        <v>7634.28</v>
      </c>
      <c r="L355" s="5" t="n">
        <v>4580.57</v>
      </c>
      <c r="M355" s="4" t="n">
        <v>3053.71</v>
      </c>
      <c r="N355" s="4" t="inlineStr">
        <is>
          <t>Existing</t>
        </is>
      </c>
      <c r="O355" s="4" t="inlineStr">
        <is>
          <t>Offline</t>
        </is>
      </c>
      <c r="P355" s="5" t="n">
        <v>8926.540000000001</v>
      </c>
      <c r="Q355" s="5" t="n">
        <v>85.52</v>
      </c>
      <c r="R355" s="5" t="inlineStr"/>
    </row>
    <row r="356">
      <c r="A356" s="2" t="inlineStr">
        <is>
          <t>ORD-1355</t>
        </is>
      </c>
      <c r="B356" s="3" t="inlineStr">
        <is>
          <t>12-07-2024</t>
        </is>
      </c>
      <c r="C356" s="3" t="inlineStr">
        <is>
          <t>Jul-2024</t>
        </is>
      </c>
      <c r="D356" s="2" t="inlineStr">
        <is>
          <t>North</t>
        </is>
      </c>
      <c r="E356" s="2" t="inlineStr">
        <is>
          <t>Delhi</t>
        </is>
      </c>
      <c r="F356" s="3" t="inlineStr">
        <is>
          <t>Rahul Sharma</t>
        </is>
      </c>
      <c r="G356" s="3" t="inlineStr">
        <is>
          <t>Furniture</t>
        </is>
      </c>
      <c r="H356" s="2" t="inlineStr">
        <is>
          <t>Desk</t>
        </is>
      </c>
      <c r="I356" s="2" t="n">
        <v>11</v>
      </c>
      <c r="J356" s="3" t="n">
        <v>437.18</v>
      </c>
      <c r="K356" s="3" t="n">
        <v>4808.98</v>
      </c>
      <c r="L356" s="3" t="n">
        <v>2644.94</v>
      </c>
      <c r="M356" s="2" t="n">
        <v>2164.04</v>
      </c>
      <c r="N356" s="2" t="inlineStr">
        <is>
          <t>Existing</t>
        </is>
      </c>
      <c r="O356" s="2" t="inlineStr">
        <is>
          <t>Offline</t>
        </is>
      </c>
      <c r="P356" s="3" t="n">
        <v>5959.47</v>
      </c>
      <c r="Q356" s="3" t="n">
        <v>80.69</v>
      </c>
      <c r="R356" s="3" t="inlineStr"/>
    </row>
    <row r="357">
      <c r="A357" s="4" t="inlineStr">
        <is>
          <t>ORD-1356</t>
        </is>
      </c>
      <c r="B357" s="5" t="inlineStr">
        <is>
          <t>13-07-2024</t>
        </is>
      </c>
      <c r="C357" s="5" t="inlineStr">
        <is>
          <t>Jul-2024</t>
        </is>
      </c>
      <c r="D357" s="4" t="inlineStr">
        <is>
          <t>East</t>
        </is>
      </c>
      <c r="E357" s="4" t="inlineStr">
        <is>
          <t>Bhubaneswar</t>
        </is>
      </c>
      <c r="F357" s="5" t="inlineStr">
        <is>
          <t>Arjun Mehta</t>
        </is>
      </c>
      <c r="G357" s="5" t="inlineStr">
        <is>
          <t>Electronics</t>
        </is>
      </c>
      <c r="H357" s="4" t="inlineStr">
        <is>
          <t>Smartwatch</t>
        </is>
      </c>
      <c r="I357" s="4" t="n">
        <v>13</v>
      </c>
      <c r="J357" s="5" t="n">
        <v>327.74</v>
      </c>
      <c r="K357" s="5" t="n">
        <v>4260.62</v>
      </c>
      <c r="L357" s="5" t="n">
        <v>2556.37</v>
      </c>
      <c r="M357" s="4" t="n">
        <v>1704.25</v>
      </c>
      <c r="N357" s="4" t="inlineStr">
        <is>
          <t>Existing</t>
        </is>
      </c>
      <c r="O357" s="4" t="inlineStr">
        <is>
          <t>Offline</t>
        </is>
      </c>
      <c r="P357" s="5" t="n">
        <v>4878.2</v>
      </c>
      <c r="Q357" s="5" t="n">
        <v>87.34</v>
      </c>
      <c r="R357" s="5" t="inlineStr"/>
    </row>
    <row r="358">
      <c r="A358" s="2" t="inlineStr">
        <is>
          <t>ORD-1357</t>
        </is>
      </c>
      <c r="B358" s="3" t="inlineStr">
        <is>
          <t>14-07-2024</t>
        </is>
      </c>
      <c r="C358" s="3" t="inlineStr">
        <is>
          <t>Jul-2024</t>
        </is>
      </c>
      <c r="D358" s="2" t="inlineStr">
        <is>
          <t>West</t>
        </is>
      </c>
      <c r="E358" s="2" t="inlineStr">
        <is>
          <t>Pune</t>
        </is>
      </c>
      <c r="F358" s="3" t="inlineStr">
        <is>
          <t>Arjun Mehta</t>
        </is>
      </c>
      <c r="G358" s="3" t="inlineStr">
        <is>
          <t>Electronics</t>
        </is>
      </c>
      <c r="H358" s="2" t="inlineStr">
        <is>
          <t>Smartphone</t>
        </is>
      </c>
      <c r="I358" s="2" t="n">
        <v>2</v>
      </c>
      <c r="J358" s="3" t="n">
        <v>877.05</v>
      </c>
      <c r="K358" s="3" t="n">
        <v>1754.1</v>
      </c>
      <c r="L358" s="3" t="n">
        <v>1052.46</v>
      </c>
      <c r="M358" s="2" t="n">
        <v>701.64</v>
      </c>
      <c r="N358" s="2" t="inlineStr">
        <is>
          <t>New</t>
        </is>
      </c>
      <c r="O358" s="2" t="inlineStr">
        <is>
          <t>Online</t>
        </is>
      </c>
      <c r="P358" s="3" t="n">
        <v>1768.16</v>
      </c>
      <c r="Q358" s="3" t="n">
        <v>99.2</v>
      </c>
      <c r="R358" s="3" t="inlineStr"/>
    </row>
    <row r="359">
      <c r="A359" s="4" t="inlineStr">
        <is>
          <t>ORD-1358</t>
        </is>
      </c>
      <c r="B359" s="5" t="inlineStr">
        <is>
          <t>15-07-2024</t>
        </is>
      </c>
      <c r="C359" s="5" t="inlineStr">
        <is>
          <t>Jul-2024</t>
        </is>
      </c>
      <c r="D359" s="4" t="inlineStr">
        <is>
          <t>West</t>
        </is>
      </c>
      <c r="E359" s="4" t="inlineStr">
        <is>
          <t>Pune</t>
        </is>
      </c>
      <c r="F359" s="5" t="inlineStr">
        <is>
          <t>Pooja Joshi</t>
        </is>
      </c>
      <c r="G359" s="5" t="inlineStr">
        <is>
          <t>Furniture</t>
        </is>
      </c>
      <c r="H359" s="4" t="inlineStr">
        <is>
          <t>Cabinet</t>
        </is>
      </c>
      <c r="I359" s="4" t="n">
        <v>12</v>
      </c>
      <c r="J359" s="5" t="n">
        <v>306.68</v>
      </c>
      <c r="K359" s="5" t="n">
        <v>3680.16</v>
      </c>
      <c r="L359" s="5" t="n">
        <v>2024.09</v>
      </c>
      <c r="M359" s="4" t="n">
        <v>1656.07</v>
      </c>
      <c r="N359" s="4" t="inlineStr">
        <is>
          <t>New</t>
        </is>
      </c>
      <c r="O359" s="4" t="inlineStr">
        <is>
          <t>Offline</t>
        </is>
      </c>
      <c r="P359" s="5" t="n">
        <v>4637.73</v>
      </c>
      <c r="Q359" s="5" t="n">
        <v>79.34999999999999</v>
      </c>
      <c r="R359" s="5" t="inlineStr"/>
    </row>
    <row r="360">
      <c r="A360" s="2" t="inlineStr">
        <is>
          <t>ORD-1359</t>
        </is>
      </c>
      <c r="B360" s="3" t="inlineStr">
        <is>
          <t>15-07-2024</t>
        </is>
      </c>
      <c r="C360" s="3" t="inlineStr">
        <is>
          <t>Jul-2024</t>
        </is>
      </c>
      <c r="D360" s="2" t="inlineStr">
        <is>
          <t>North</t>
        </is>
      </c>
      <c r="E360" s="2" t="inlineStr">
        <is>
          <t>Chandigarh</t>
        </is>
      </c>
      <c r="F360" s="3" t="inlineStr">
        <is>
          <t>Pooja Joshi</t>
        </is>
      </c>
      <c r="G360" s="3" t="inlineStr">
        <is>
          <t>Electronics</t>
        </is>
      </c>
      <c r="H360" s="2" t="inlineStr">
        <is>
          <t>Laptop</t>
        </is>
      </c>
      <c r="I360" s="2" t="n">
        <v>9</v>
      </c>
      <c r="J360" s="3" t="n">
        <v>1237.19</v>
      </c>
      <c r="K360" s="3" t="n">
        <v>11134.71</v>
      </c>
      <c r="L360" s="3" t="n">
        <v>6680.83</v>
      </c>
      <c r="M360" s="2" t="n">
        <v>4453.88</v>
      </c>
      <c r="N360" s="2" t="inlineStr">
        <is>
          <t>New</t>
        </is>
      </c>
      <c r="O360" s="2" t="inlineStr">
        <is>
          <t>Online</t>
        </is>
      </c>
      <c r="P360" s="3" t="n">
        <v>14352.06</v>
      </c>
      <c r="Q360" s="3" t="n">
        <v>77.58</v>
      </c>
      <c r="R360" s="3" t="inlineStr"/>
    </row>
    <row r="361">
      <c r="A361" s="4" t="inlineStr">
        <is>
          <t>ORD-1360</t>
        </is>
      </c>
      <c r="B361" s="5" t="inlineStr">
        <is>
          <t>15-07-2024</t>
        </is>
      </c>
      <c r="C361" s="5" t="inlineStr">
        <is>
          <t>Jul-2024</t>
        </is>
      </c>
      <c r="D361" s="4" t="inlineStr">
        <is>
          <t>East</t>
        </is>
      </c>
      <c r="E361" s="4" t="inlineStr">
        <is>
          <t>Patna</t>
        </is>
      </c>
      <c r="F361" s="5" t="inlineStr">
        <is>
          <t>Ravi Verma</t>
        </is>
      </c>
      <c r="G361" s="5" t="inlineStr">
        <is>
          <t>Electronics</t>
        </is>
      </c>
      <c r="H361" s="4" t="inlineStr">
        <is>
          <t>Smartwatch</t>
        </is>
      </c>
      <c r="I361" s="4" t="n">
        <v>8</v>
      </c>
      <c r="J361" s="5" t="n">
        <v>298.92</v>
      </c>
      <c r="K361" s="5" t="n">
        <v>2391.36</v>
      </c>
      <c r="L361" s="5" t="n">
        <v>1434.82</v>
      </c>
      <c r="M361" s="4" t="n">
        <v>956.54</v>
      </c>
      <c r="N361" s="4" t="inlineStr">
        <is>
          <t>Existing</t>
        </is>
      </c>
      <c r="O361" s="4" t="inlineStr">
        <is>
          <t>Online</t>
        </is>
      </c>
      <c r="P361" s="5" t="n">
        <v>2916.3</v>
      </c>
      <c r="Q361" s="5" t="n">
        <v>82</v>
      </c>
      <c r="R361" s="5" t="inlineStr"/>
    </row>
    <row r="362">
      <c r="A362" s="2" t="inlineStr">
        <is>
          <t>ORD-1361</t>
        </is>
      </c>
      <c r="B362" s="3" t="inlineStr">
        <is>
          <t>16-07-2024</t>
        </is>
      </c>
      <c r="C362" s="3" t="inlineStr">
        <is>
          <t>Jul-2024</t>
        </is>
      </c>
      <c r="D362" s="2" t="inlineStr">
        <is>
          <t>North</t>
        </is>
      </c>
      <c r="E362" s="2" t="inlineStr">
        <is>
          <t>Delhi</t>
        </is>
      </c>
      <c r="F362" s="3" t="inlineStr">
        <is>
          <t>Arjun Mehta</t>
        </is>
      </c>
      <c r="G362" s="3" t="inlineStr">
        <is>
          <t>Software</t>
        </is>
      </c>
      <c r="H362" s="2" t="inlineStr">
        <is>
          <t>HR System</t>
        </is>
      </c>
      <c r="I362" s="2" t="n">
        <v>6</v>
      </c>
      <c r="J362" s="3" t="n">
        <v>1829.95</v>
      </c>
      <c r="K362" s="3" t="n">
        <v>10979.7</v>
      </c>
      <c r="L362" s="3" t="n">
        <v>3293.91</v>
      </c>
      <c r="M362" s="2" t="n">
        <v>7685.79</v>
      </c>
      <c r="N362" s="2" t="inlineStr">
        <is>
          <t>Existing</t>
        </is>
      </c>
      <c r="O362" s="2" t="inlineStr">
        <is>
          <t>Offline</t>
        </is>
      </c>
      <c r="P362" s="3" t="n">
        <v>10106.22</v>
      </c>
      <c r="Q362" s="3" t="n">
        <v>108.64</v>
      </c>
      <c r="R362" s="3" t="inlineStr"/>
    </row>
    <row r="363">
      <c r="A363" s="4" t="inlineStr">
        <is>
          <t>ORD-1362</t>
        </is>
      </c>
      <c r="B363" s="5" t="inlineStr">
        <is>
          <t>16-07-2024</t>
        </is>
      </c>
      <c r="C363" s="5" t="inlineStr">
        <is>
          <t>Jul-2024</t>
        </is>
      </c>
      <c r="D363" s="4" t="inlineStr">
        <is>
          <t>East</t>
        </is>
      </c>
      <c r="E363" s="4" t="inlineStr">
        <is>
          <t>Kolkata</t>
        </is>
      </c>
      <c r="F363" s="5" t="inlineStr">
        <is>
          <t>Ravi Verma</t>
        </is>
      </c>
      <c r="G363" s="5" t="inlineStr">
        <is>
          <t>Furniture</t>
        </is>
      </c>
      <c r="H363" s="4" t="inlineStr">
        <is>
          <t>Cabinet</t>
        </is>
      </c>
      <c r="I363" s="4" t="n">
        <v>13</v>
      </c>
      <c r="J363" s="5" t="n">
        <v>319.03</v>
      </c>
      <c r="K363" s="5" t="n">
        <v>4147.39</v>
      </c>
      <c r="L363" s="5" t="n">
        <v>2281.06</v>
      </c>
      <c r="M363" s="4" t="n">
        <v>1866.33</v>
      </c>
      <c r="N363" s="4" t="inlineStr">
        <is>
          <t>New</t>
        </is>
      </c>
      <c r="O363" s="4" t="inlineStr">
        <is>
          <t>Offline</t>
        </is>
      </c>
      <c r="P363" s="5" t="n">
        <v>4239.02</v>
      </c>
      <c r="Q363" s="5" t="n">
        <v>97.84</v>
      </c>
      <c r="R363" s="5" t="inlineStr"/>
    </row>
    <row r="364">
      <c r="A364" s="2" t="inlineStr">
        <is>
          <t>ORD-1363</t>
        </is>
      </c>
      <c r="B364" s="3" t="inlineStr">
        <is>
          <t>16-07-2024</t>
        </is>
      </c>
      <c r="C364" s="3" t="inlineStr">
        <is>
          <t>Jul-2024</t>
        </is>
      </c>
      <c r="D364" s="2" t="inlineStr">
        <is>
          <t>West</t>
        </is>
      </c>
      <c r="E364" s="2" t="inlineStr">
        <is>
          <t>Mumbai</t>
        </is>
      </c>
      <c r="F364" s="3" t="inlineStr">
        <is>
          <t>Pooja Joshi</t>
        </is>
      </c>
      <c r="G364" s="3" t="inlineStr">
        <is>
          <t>Software</t>
        </is>
      </c>
      <c r="H364" s="2" t="inlineStr">
        <is>
          <t>Analytics Pro</t>
        </is>
      </c>
      <c r="I364" s="2" t="n">
        <v>4</v>
      </c>
      <c r="J364" s="3" t="n">
        <v>2740.34</v>
      </c>
      <c r="K364" s="3" t="n">
        <v>10961.36</v>
      </c>
      <c r="L364" s="3" t="n">
        <v>3288.41</v>
      </c>
      <c r="M364" s="2" t="n">
        <v>7672.95</v>
      </c>
      <c r="N364" s="2" t="inlineStr">
        <is>
          <t>New</t>
        </is>
      </c>
      <c r="O364" s="2" t="inlineStr">
        <is>
          <t>Online</t>
        </is>
      </c>
      <c r="P364" s="3" t="n">
        <v>10980.21</v>
      </c>
      <c r="Q364" s="3" t="n">
        <v>99.83</v>
      </c>
      <c r="R364" s="3" t="inlineStr"/>
    </row>
    <row r="365">
      <c r="A365" s="4" t="inlineStr">
        <is>
          <t>ORD-1364</t>
        </is>
      </c>
      <c r="B365" s="5" t="inlineStr">
        <is>
          <t>17-07-2024</t>
        </is>
      </c>
      <c r="C365" s="5" t="inlineStr">
        <is>
          <t>Jul-2024</t>
        </is>
      </c>
      <c r="D365" s="4" t="inlineStr">
        <is>
          <t>North</t>
        </is>
      </c>
      <c r="E365" s="4" t="inlineStr">
        <is>
          <t>Delhi</t>
        </is>
      </c>
      <c r="F365" s="5" t="inlineStr">
        <is>
          <t>Kavita Rao</t>
        </is>
      </c>
      <c r="G365" s="5" t="inlineStr">
        <is>
          <t>Apparel</t>
        </is>
      </c>
      <c r="H365" s="4" t="inlineStr">
        <is>
          <t>Formal Shirt</t>
        </is>
      </c>
      <c r="I365" s="4" t="n">
        <v>15</v>
      </c>
      <c r="J365" s="5" t="n">
        <v>87.20999999999999</v>
      </c>
      <c r="K365" s="5" t="n">
        <v>1308.15</v>
      </c>
      <c r="L365" s="5" t="n">
        <v>588.67</v>
      </c>
      <c r="M365" s="4" t="n">
        <v>719.48</v>
      </c>
      <c r="N365" s="4" t="inlineStr">
        <is>
          <t>Existing</t>
        </is>
      </c>
      <c r="O365" s="4" t="inlineStr">
        <is>
          <t>Online</t>
        </is>
      </c>
      <c r="P365" s="5" t="n">
        <v>1580.63</v>
      </c>
      <c r="Q365" s="5" t="n">
        <v>82.76000000000001</v>
      </c>
      <c r="R365" s="5" t="inlineStr"/>
    </row>
    <row r="366">
      <c r="A366" s="2" t="inlineStr">
        <is>
          <t>ORD-1365</t>
        </is>
      </c>
      <c r="B366" s="3" t="inlineStr">
        <is>
          <t>18-07-2024</t>
        </is>
      </c>
      <c r="C366" s="3" t="inlineStr">
        <is>
          <t>Jul-2024</t>
        </is>
      </c>
      <c r="D366" s="2" t="inlineStr">
        <is>
          <t>East</t>
        </is>
      </c>
      <c r="E366" s="2" t="inlineStr">
        <is>
          <t>Patna</t>
        </is>
      </c>
      <c r="F366" s="3" t="inlineStr">
        <is>
          <t>Kavita Rao</t>
        </is>
      </c>
      <c r="G366" s="3" t="inlineStr">
        <is>
          <t>Software</t>
        </is>
      </c>
      <c r="H366" s="2" t="inlineStr">
        <is>
          <t>Analytics Pro</t>
        </is>
      </c>
      <c r="I366" s="2" t="n">
        <v>15</v>
      </c>
      <c r="J366" s="3" t="n">
        <v>2307.01</v>
      </c>
      <c r="K366" s="3" t="n">
        <v>34605.15</v>
      </c>
      <c r="L366" s="3" t="n">
        <v>10381.55</v>
      </c>
      <c r="M366" s="2" t="n">
        <v>24223.6</v>
      </c>
      <c r="N366" s="2" t="inlineStr">
        <is>
          <t>New</t>
        </is>
      </c>
      <c r="O366" s="2" t="inlineStr">
        <is>
          <t>Online</t>
        </is>
      </c>
      <c r="P366" s="3" t="n">
        <v>33590.48</v>
      </c>
      <c r="Q366" s="3" t="n">
        <v>103.02</v>
      </c>
      <c r="R366" s="3" t="inlineStr"/>
    </row>
    <row r="367">
      <c r="A367" s="4" t="inlineStr">
        <is>
          <t>ORD-1366</t>
        </is>
      </c>
      <c r="B367" s="5" t="inlineStr">
        <is>
          <t>18-07-2024</t>
        </is>
      </c>
      <c r="C367" s="5" t="inlineStr">
        <is>
          <t>Jul-2024</t>
        </is>
      </c>
      <c r="D367" s="4" t="inlineStr">
        <is>
          <t>East</t>
        </is>
      </c>
      <c r="E367" s="4" t="inlineStr">
        <is>
          <t>Patna</t>
        </is>
      </c>
      <c r="F367" s="5" t="inlineStr">
        <is>
          <t>Ravi Verma</t>
        </is>
      </c>
      <c r="G367" s="5" t="inlineStr">
        <is>
          <t>Apparel</t>
        </is>
      </c>
      <c r="H367" s="4" t="inlineStr">
        <is>
          <t>Jacket</t>
        </is>
      </c>
      <c r="I367" s="4" t="n">
        <v>2</v>
      </c>
      <c r="J367" s="5" t="n">
        <v>129.53</v>
      </c>
      <c r="K367" s="5" t="n">
        <v>259.06</v>
      </c>
      <c r="L367" s="5" t="n">
        <v>116.58</v>
      </c>
      <c r="M367" s="4" t="n">
        <v>142.48</v>
      </c>
      <c r="N367" s="4" t="inlineStr">
        <is>
          <t>Existing</t>
        </is>
      </c>
      <c r="O367" s="4" t="inlineStr">
        <is>
          <t>Online</t>
        </is>
      </c>
      <c r="P367" s="5" t="n">
        <v>313.7</v>
      </c>
      <c r="Q367" s="5" t="n">
        <v>82.58</v>
      </c>
      <c r="R367" s="5" t="inlineStr"/>
    </row>
    <row r="368">
      <c r="A368" s="2" t="inlineStr">
        <is>
          <t>ORD-1367</t>
        </is>
      </c>
      <c r="B368" s="3" t="inlineStr">
        <is>
          <t>19-07-2024</t>
        </is>
      </c>
      <c r="C368" s="3" t="inlineStr">
        <is>
          <t>Jul-2024</t>
        </is>
      </c>
      <c r="D368" s="2" t="inlineStr">
        <is>
          <t>West</t>
        </is>
      </c>
      <c r="E368" s="2" t="inlineStr">
        <is>
          <t>Mumbai</t>
        </is>
      </c>
      <c r="F368" s="3" t="inlineStr">
        <is>
          <t>Vikram Singh</t>
        </is>
      </c>
      <c r="G368" s="3" t="inlineStr">
        <is>
          <t>Furniture</t>
        </is>
      </c>
      <c r="H368" s="2" t="inlineStr">
        <is>
          <t>Desk</t>
        </is>
      </c>
      <c r="I368" s="2" t="n">
        <v>4</v>
      </c>
      <c r="J368" s="3" t="n">
        <v>488.72</v>
      </c>
      <c r="K368" s="3" t="n">
        <v>1954.88</v>
      </c>
      <c r="L368" s="3" t="n">
        <v>1075.18</v>
      </c>
      <c r="M368" s="2" t="n">
        <v>879.7</v>
      </c>
      <c r="N368" s="2" t="inlineStr">
        <is>
          <t>Existing</t>
        </is>
      </c>
      <c r="O368" s="2" t="inlineStr">
        <is>
          <t>Online</t>
        </is>
      </c>
      <c r="P368" s="3" t="n">
        <v>2010.64</v>
      </c>
      <c r="Q368" s="3" t="n">
        <v>97.23</v>
      </c>
      <c r="R368" s="3" t="inlineStr"/>
    </row>
    <row r="369">
      <c r="A369" s="4" t="inlineStr">
        <is>
          <t>ORD-1368</t>
        </is>
      </c>
      <c r="B369" s="5" t="inlineStr">
        <is>
          <t>19-07-2024</t>
        </is>
      </c>
      <c r="C369" s="5" t="inlineStr">
        <is>
          <t>Jul-2024</t>
        </is>
      </c>
      <c r="D369" s="4" t="inlineStr">
        <is>
          <t>South</t>
        </is>
      </c>
      <c r="E369" s="4" t="inlineStr">
        <is>
          <t>Hyderabad</t>
        </is>
      </c>
      <c r="F369" s="5" t="inlineStr">
        <is>
          <t>Deepa Nair</t>
        </is>
      </c>
      <c r="G369" s="5" t="inlineStr">
        <is>
          <t>Electronics</t>
        </is>
      </c>
      <c r="H369" s="4" t="inlineStr">
        <is>
          <t>Smartwatch</t>
        </is>
      </c>
      <c r="I369" s="4" t="n">
        <v>2</v>
      </c>
      <c r="J369" s="5" t="n">
        <v>325.6</v>
      </c>
      <c r="K369" s="5" t="n">
        <v>651.2</v>
      </c>
      <c r="L369" s="5" t="n">
        <v>390.72</v>
      </c>
      <c r="M369" s="4" t="n">
        <v>260.48</v>
      </c>
      <c r="N369" s="4" t="inlineStr">
        <is>
          <t>New</t>
        </is>
      </c>
      <c r="O369" s="4" t="inlineStr">
        <is>
          <t>Offline</t>
        </is>
      </c>
      <c r="P369" s="5" t="n">
        <v>669.89</v>
      </c>
      <c r="Q369" s="5" t="n">
        <v>97.20999999999999</v>
      </c>
      <c r="R369" s="5" t="inlineStr"/>
    </row>
    <row r="370">
      <c r="A370" s="2" t="inlineStr">
        <is>
          <t>ORD-1369</t>
        </is>
      </c>
      <c r="B370" s="3" t="inlineStr">
        <is>
          <t>19-07-2024</t>
        </is>
      </c>
      <c r="C370" s="3" t="inlineStr">
        <is>
          <t>Jul-2024</t>
        </is>
      </c>
      <c r="D370" s="2" t="inlineStr">
        <is>
          <t>South</t>
        </is>
      </c>
      <c r="E370" s="2" t="inlineStr">
        <is>
          <t>Bangalore</t>
        </is>
      </c>
      <c r="F370" s="3" t="inlineStr">
        <is>
          <t>Rahul Sharma</t>
        </is>
      </c>
      <c r="G370" s="3" t="inlineStr">
        <is>
          <t>Electronics</t>
        </is>
      </c>
      <c r="H370" s="2" t="inlineStr">
        <is>
          <t>Smartwatch</t>
        </is>
      </c>
      <c r="I370" s="2" t="n">
        <v>19</v>
      </c>
      <c r="J370" s="3" t="n">
        <v>298.98</v>
      </c>
      <c r="K370" s="3" t="n">
        <v>5680.62</v>
      </c>
      <c r="L370" s="3" t="n">
        <v>3408.37</v>
      </c>
      <c r="M370" s="2" t="n">
        <v>2272.25</v>
      </c>
      <c r="N370" s="2" t="inlineStr">
        <is>
          <t>New</t>
        </is>
      </c>
      <c r="O370" s="2" t="inlineStr">
        <is>
          <t>Online</t>
        </is>
      </c>
      <c r="P370" s="3" t="n">
        <v>6619.33</v>
      </c>
      <c r="Q370" s="3" t="n">
        <v>85.81999999999999</v>
      </c>
      <c r="R370" s="3" t="inlineStr"/>
    </row>
    <row r="371">
      <c r="A371" s="4" t="inlineStr">
        <is>
          <t>ORD-1370</t>
        </is>
      </c>
      <c r="B371" s="5" t="inlineStr">
        <is>
          <t>20-07-2024</t>
        </is>
      </c>
      <c r="C371" s="5" t="inlineStr">
        <is>
          <t>Jul-2024</t>
        </is>
      </c>
      <c r="D371" s="4" t="inlineStr">
        <is>
          <t>North</t>
        </is>
      </c>
      <c r="E371" s="4" t="inlineStr">
        <is>
          <t>Chandigarh</t>
        </is>
      </c>
      <c r="F371" s="5" t="inlineStr">
        <is>
          <t>Kavita Rao</t>
        </is>
      </c>
      <c r="G371" s="5" t="inlineStr">
        <is>
          <t>Apparel</t>
        </is>
      </c>
      <c r="H371" s="4" t="inlineStr">
        <is>
          <t>Trousers</t>
        </is>
      </c>
      <c r="I371" s="4" t="n">
        <v>14</v>
      </c>
      <c r="J371" s="5" t="n">
        <v>76.70999999999999</v>
      </c>
      <c r="K371" s="5" t="n">
        <v>1073.94</v>
      </c>
      <c r="L371" s="5" t="n">
        <v>483.27</v>
      </c>
      <c r="M371" s="4" t="n">
        <v>590.67</v>
      </c>
      <c r="N371" s="4" t="inlineStr">
        <is>
          <t>New</t>
        </is>
      </c>
      <c r="O371" s="4" t="inlineStr">
        <is>
          <t>Offline</t>
        </is>
      </c>
      <c r="P371" s="5" t="n">
        <v>1072.8</v>
      </c>
      <c r="Q371" s="5" t="n">
        <v>100.11</v>
      </c>
      <c r="R371" s="5" t="inlineStr"/>
    </row>
    <row r="372">
      <c r="A372" s="2" t="inlineStr">
        <is>
          <t>ORD-1371</t>
        </is>
      </c>
      <c r="B372" s="3" t="inlineStr">
        <is>
          <t>21-07-2024</t>
        </is>
      </c>
      <c r="C372" s="3" t="inlineStr">
        <is>
          <t>Jul-2024</t>
        </is>
      </c>
      <c r="D372" s="2" t="inlineStr">
        <is>
          <t>East</t>
        </is>
      </c>
      <c r="E372" s="2" t="inlineStr">
        <is>
          <t>Bhubaneswar</t>
        </is>
      </c>
      <c r="F372" s="3" t="inlineStr">
        <is>
          <t>Arjun Mehta</t>
        </is>
      </c>
      <c r="G372" s="3" t="inlineStr">
        <is>
          <t>Furniture</t>
        </is>
      </c>
      <c r="H372" s="2" t="inlineStr">
        <is>
          <t>Cabinet</t>
        </is>
      </c>
      <c r="I372" s="2" t="n">
        <v>20</v>
      </c>
      <c r="J372" s="3" t="n">
        <v>312</v>
      </c>
      <c r="K372" s="3" t="n">
        <v>6240</v>
      </c>
      <c r="L372" s="3" t="n">
        <v>3432</v>
      </c>
      <c r="M372" s="2" t="n">
        <v>2808</v>
      </c>
      <c r="N372" s="2" t="inlineStr">
        <is>
          <t>Existing</t>
        </is>
      </c>
      <c r="O372" s="2" t="inlineStr">
        <is>
          <t>Offline</t>
        </is>
      </c>
      <c r="P372" s="3" t="n">
        <v>7213.05</v>
      </c>
      <c r="Q372" s="3" t="n">
        <v>86.51000000000001</v>
      </c>
      <c r="R372" s="3" t="inlineStr"/>
    </row>
    <row r="373">
      <c r="A373" s="4" t="inlineStr">
        <is>
          <t>ORD-1372</t>
        </is>
      </c>
      <c r="B373" s="5" t="inlineStr">
        <is>
          <t>22-07-2024</t>
        </is>
      </c>
      <c r="C373" s="5" t="inlineStr">
        <is>
          <t>Jul-2024</t>
        </is>
      </c>
      <c r="D373" s="4" t="inlineStr">
        <is>
          <t>South</t>
        </is>
      </c>
      <c r="E373" s="4" t="inlineStr">
        <is>
          <t>Chennai</t>
        </is>
      </c>
      <c r="F373" s="5" t="inlineStr">
        <is>
          <t>Sneha Reddy</t>
        </is>
      </c>
      <c r="G373" s="5" t="inlineStr">
        <is>
          <t>Apparel</t>
        </is>
      </c>
      <c r="H373" s="4" t="inlineStr">
        <is>
          <t>T-Shirt</t>
        </is>
      </c>
      <c r="I373" s="4" t="n">
        <v>5</v>
      </c>
      <c r="J373" s="5" t="n">
        <v>43.85</v>
      </c>
      <c r="K373" s="5" t="n">
        <v>219.25</v>
      </c>
      <c r="L373" s="5" t="n">
        <v>98.66</v>
      </c>
      <c r="M373" s="4" t="n">
        <v>120.59</v>
      </c>
      <c r="N373" s="4" t="inlineStr">
        <is>
          <t>New</t>
        </is>
      </c>
      <c r="O373" s="4" t="inlineStr">
        <is>
          <t>Offline</t>
        </is>
      </c>
      <c r="P373" s="5" t="n">
        <v>253.27</v>
      </c>
      <c r="Q373" s="5" t="n">
        <v>86.56999999999999</v>
      </c>
      <c r="R373" s="5" t="inlineStr"/>
    </row>
    <row r="374">
      <c r="A374" s="2" t="inlineStr">
        <is>
          <t>ORD-1373</t>
        </is>
      </c>
      <c r="B374" s="3" t="inlineStr">
        <is>
          <t>22-07-2024</t>
        </is>
      </c>
      <c r="C374" s="3" t="inlineStr">
        <is>
          <t>Jul-2024</t>
        </is>
      </c>
      <c r="D374" s="2" t="inlineStr">
        <is>
          <t>East</t>
        </is>
      </c>
      <c r="E374" s="2" t="inlineStr">
        <is>
          <t>Patna</t>
        </is>
      </c>
      <c r="F374" s="3" t="inlineStr">
        <is>
          <t>Pooja Joshi</t>
        </is>
      </c>
      <c r="G374" s="3" t="inlineStr">
        <is>
          <t>Software</t>
        </is>
      </c>
      <c r="H374" s="2" t="inlineStr">
        <is>
          <t>Analytics Pro</t>
        </is>
      </c>
      <c r="I374" s="2" t="n">
        <v>14</v>
      </c>
      <c r="J374" s="3" t="n">
        <v>2654.15</v>
      </c>
      <c r="K374" s="3" t="n">
        <v>37158.1</v>
      </c>
      <c r="L374" s="3" t="n">
        <v>11147.43</v>
      </c>
      <c r="M374" s="2" t="n">
        <v>26010.67</v>
      </c>
      <c r="N374" s="2" t="inlineStr">
        <is>
          <t>New</t>
        </is>
      </c>
      <c r="O374" s="2" t="inlineStr">
        <is>
          <t>Online</t>
        </is>
      </c>
      <c r="P374" s="3" t="n">
        <v>36802.69</v>
      </c>
      <c r="Q374" s="3" t="n">
        <v>100.97</v>
      </c>
      <c r="R374" s="3" t="inlineStr"/>
    </row>
    <row r="375">
      <c r="A375" s="4" t="inlineStr">
        <is>
          <t>ORD-1374</t>
        </is>
      </c>
      <c r="B375" s="5" t="inlineStr">
        <is>
          <t>22-07-2024</t>
        </is>
      </c>
      <c r="C375" s="5" t="inlineStr">
        <is>
          <t>Jul-2024</t>
        </is>
      </c>
      <c r="D375" s="4" t="inlineStr">
        <is>
          <t>North</t>
        </is>
      </c>
      <c r="E375" s="4" t="inlineStr">
        <is>
          <t>Lucknow</t>
        </is>
      </c>
      <c r="F375" s="5" t="inlineStr">
        <is>
          <t>Rahul Sharma</t>
        </is>
      </c>
      <c r="G375" s="5" t="inlineStr">
        <is>
          <t>Furniture</t>
        </is>
      </c>
      <c r="H375" s="4" t="inlineStr">
        <is>
          <t>Bookshelf</t>
        </is>
      </c>
      <c r="I375" s="4" t="n">
        <v>6</v>
      </c>
      <c r="J375" s="5" t="n">
        <v>219.34</v>
      </c>
      <c r="K375" s="5" t="n">
        <v>1316.04</v>
      </c>
      <c r="L375" s="5" t="n">
        <v>723.8200000000001</v>
      </c>
      <c r="M375" s="4" t="n">
        <v>592.22</v>
      </c>
      <c r="N375" s="4" t="inlineStr">
        <is>
          <t>Existing</t>
        </is>
      </c>
      <c r="O375" s="4" t="inlineStr">
        <is>
          <t>Online</t>
        </is>
      </c>
      <c r="P375" s="5" t="n">
        <v>1605.16</v>
      </c>
      <c r="Q375" s="5" t="n">
        <v>81.98999999999999</v>
      </c>
      <c r="R375" s="5" t="inlineStr"/>
    </row>
    <row r="376">
      <c r="A376" s="2" t="inlineStr">
        <is>
          <t>ORD-1375</t>
        </is>
      </c>
      <c r="B376" s="3" t="inlineStr">
        <is>
          <t>23-07-2024</t>
        </is>
      </c>
      <c r="C376" s="3" t="inlineStr">
        <is>
          <t>Jul-2024</t>
        </is>
      </c>
      <c r="D376" s="2" t="inlineStr">
        <is>
          <t>East</t>
        </is>
      </c>
      <c r="E376" s="2" t="inlineStr">
        <is>
          <t>Kolkata</t>
        </is>
      </c>
      <c r="F376" s="3" t="inlineStr">
        <is>
          <t>Ravi Verma</t>
        </is>
      </c>
      <c r="G376" s="3" t="inlineStr">
        <is>
          <t>Electronics</t>
        </is>
      </c>
      <c r="H376" s="2" t="inlineStr">
        <is>
          <t>Tablet</t>
        </is>
      </c>
      <c r="I376" s="2" t="n">
        <v>15</v>
      </c>
      <c r="J376" s="3" t="n">
        <v>552.3</v>
      </c>
      <c r="K376" s="3" t="n">
        <v>8284.5</v>
      </c>
      <c r="L376" s="3" t="n">
        <v>4970.7</v>
      </c>
      <c r="M376" s="2" t="n">
        <v>3313.8</v>
      </c>
      <c r="N376" s="2" t="inlineStr">
        <is>
          <t>New</t>
        </is>
      </c>
      <c r="O376" s="2" t="inlineStr">
        <is>
          <t>Offline</t>
        </is>
      </c>
      <c r="P376" s="3" t="n">
        <v>7611.78</v>
      </c>
      <c r="Q376" s="3" t="n">
        <v>108.84</v>
      </c>
      <c r="R376" s="3" t="inlineStr"/>
    </row>
    <row r="377">
      <c r="A377" s="4" t="inlineStr">
        <is>
          <t>ORD-1376</t>
        </is>
      </c>
      <c r="B377" s="5" t="inlineStr">
        <is>
          <t>23-07-2024</t>
        </is>
      </c>
      <c r="C377" s="5" t="inlineStr">
        <is>
          <t>Jul-2024</t>
        </is>
      </c>
      <c r="D377" s="4" t="inlineStr">
        <is>
          <t>East</t>
        </is>
      </c>
      <c r="E377" s="4" t="inlineStr">
        <is>
          <t>Patna</t>
        </is>
      </c>
      <c r="F377" s="5" t="inlineStr">
        <is>
          <t>Rahul Sharma</t>
        </is>
      </c>
      <c r="G377" s="5" t="inlineStr">
        <is>
          <t>Software</t>
        </is>
      </c>
      <c r="H377" s="4" t="inlineStr">
        <is>
          <t>HR System</t>
        </is>
      </c>
      <c r="I377" s="4" t="n">
        <v>14</v>
      </c>
      <c r="J377" s="5" t="n">
        <v>2182.68</v>
      </c>
      <c r="K377" s="5" t="n">
        <v>30557.52</v>
      </c>
      <c r="L377" s="5" t="n">
        <v>9167.26</v>
      </c>
      <c r="M377" s="4" t="n">
        <v>21390.26</v>
      </c>
      <c r="N377" s="4" t="inlineStr">
        <is>
          <t>Existing</t>
        </is>
      </c>
      <c r="O377" s="4" t="inlineStr">
        <is>
          <t>Online</t>
        </is>
      </c>
      <c r="P377" s="5" t="n">
        <v>24644.11</v>
      </c>
      <c r="Q377" s="5" t="n">
        <v>124</v>
      </c>
      <c r="R377" s="5" t="inlineStr"/>
    </row>
    <row r="378">
      <c r="A378" s="2" t="inlineStr">
        <is>
          <t>ORD-1377</t>
        </is>
      </c>
      <c r="B378" s="3" t="inlineStr">
        <is>
          <t>23-07-2024</t>
        </is>
      </c>
      <c r="C378" s="3" t="inlineStr">
        <is>
          <t>Jul-2024</t>
        </is>
      </c>
      <c r="D378" s="2" t="inlineStr">
        <is>
          <t>East</t>
        </is>
      </c>
      <c r="E378" s="2" t="inlineStr">
        <is>
          <t>Kolkata</t>
        </is>
      </c>
      <c r="F378" s="3" t="inlineStr">
        <is>
          <t>Kavita Rao</t>
        </is>
      </c>
      <c r="G378" s="3" t="inlineStr">
        <is>
          <t>Software</t>
        </is>
      </c>
      <c r="H378" s="2" t="inlineStr">
        <is>
          <t>CRM Tool</t>
        </is>
      </c>
      <c r="I378" s="2" t="n">
        <v>12</v>
      </c>
      <c r="J378" s="3" t="n">
        <v>3153.06</v>
      </c>
      <c r="K378" s="3" t="n">
        <v>37836.72</v>
      </c>
      <c r="L378" s="3" t="n">
        <v>11351.02</v>
      </c>
      <c r="M378" s="2" t="n">
        <v>26485.7</v>
      </c>
      <c r="N378" s="2" t="inlineStr">
        <is>
          <t>New</t>
        </is>
      </c>
      <c r="O378" s="2" t="inlineStr">
        <is>
          <t>Online</t>
        </is>
      </c>
      <c r="P378" s="3" t="n">
        <v>35834.74</v>
      </c>
      <c r="Q378" s="3" t="n">
        <v>105.59</v>
      </c>
      <c r="R378" s="3" t="inlineStr"/>
    </row>
    <row r="379">
      <c r="A379" s="4" t="inlineStr">
        <is>
          <t>ORD-1378</t>
        </is>
      </c>
      <c r="B379" s="5" t="inlineStr">
        <is>
          <t>24-07-2024</t>
        </is>
      </c>
      <c r="C379" s="5" t="inlineStr">
        <is>
          <t>Jul-2024</t>
        </is>
      </c>
      <c r="D379" s="4" t="inlineStr">
        <is>
          <t>North</t>
        </is>
      </c>
      <c r="E379" s="4" t="inlineStr">
        <is>
          <t>Delhi</t>
        </is>
      </c>
      <c r="F379" s="5" t="inlineStr">
        <is>
          <t>Arjun Mehta</t>
        </is>
      </c>
      <c r="G379" s="5" t="inlineStr">
        <is>
          <t>Electronics</t>
        </is>
      </c>
      <c r="H379" s="4" t="inlineStr">
        <is>
          <t>Smartwatch</t>
        </is>
      </c>
      <c r="I379" s="4" t="n">
        <v>2</v>
      </c>
      <c r="J379" s="5" t="n">
        <v>295.71</v>
      </c>
      <c r="K379" s="5" t="n">
        <v>591.42</v>
      </c>
      <c r="L379" s="5" t="n">
        <v>354.85</v>
      </c>
      <c r="M379" s="4" t="n">
        <v>236.57</v>
      </c>
      <c r="N379" s="4" t="inlineStr">
        <is>
          <t>Existing</t>
        </is>
      </c>
      <c r="O379" s="4" t="inlineStr">
        <is>
          <t>Online</t>
        </is>
      </c>
      <c r="P379" s="5" t="n">
        <v>520.72</v>
      </c>
      <c r="Q379" s="5" t="n">
        <v>113.58</v>
      </c>
      <c r="R379" s="5" t="inlineStr"/>
    </row>
    <row r="380">
      <c r="A380" s="2" t="inlineStr">
        <is>
          <t>ORD-1379</t>
        </is>
      </c>
      <c r="B380" s="3" t="inlineStr">
        <is>
          <t>25-07-2024</t>
        </is>
      </c>
      <c r="C380" s="3" t="inlineStr">
        <is>
          <t>Jul-2024</t>
        </is>
      </c>
      <c r="D380" s="2" t="inlineStr">
        <is>
          <t>North</t>
        </is>
      </c>
      <c r="E380" s="2" t="inlineStr">
        <is>
          <t>Chandigarh</t>
        </is>
      </c>
      <c r="F380" s="3" t="inlineStr">
        <is>
          <t>Pooja Joshi</t>
        </is>
      </c>
      <c r="G380" s="3" t="inlineStr">
        <is>
          <t>Furniture</t>
        </is>
      </c>
      <c r="H380" s="2" t="inlineStr">
        <is>
          <t>Office Chair</t>
        </is>
      </c>
      <c r="I380" s="2" t="n">
        <v>5</v>
      </c>
      <c r="J380" s="3" t="n">
        <v>380</v>
      </c>
      <c r="K380" s="3" t="n">
        <v>1900</v>
      </c>
      <c r="L380" s="3" t="n">
        <v>1045</v>
      </c>
      <c r="M380" s="2" t="n">
        <v>855</v>
      </c>
      <c r="N380" s="2" t="inlineStr">
        <is>
          <t>New</t>
        </is>
      </c>
      <c r="O380" s="2" t="inlineStr">
        <is>
          <t>Offline</t>
        </is>
      </c>
      <c r="P380" s="3" t="n">
        <v>1986.02</v>
      </c>
      <c r="Q380" s="3" t="n">
        <v>95.67</v>
      </c>
      <c r="R380" s="3" t="inlineStr"/>
    </row>
    <row r="381">
      <c r="A381" s="4" t="inlineStr">
        <is>
          <t>ORD-1380</t>
        </is>
      </c>
      <c r="B381" s="5" t="inlineStr">
        <is>
          <t>25-07-2024</t>
        </is>
      </c>
      <c r="C381" s="5" t="inlineStr">
        <is>
          <t>Jul-2024</t>
        </is>
      </c>
      <c r="D381" s="4" t="inlineStr">
        <is>
          <t>East</t>
        </is>
      </c>
      <c r="E381" s="4" t="inlineStr">
        <is>
          <t>Kolkata</t>
        </is>
      </c>
      <c r="F381" s="5" t="inlineStr">
        <is>
          <t>Deepa Nair</t>
        </is>
      </c>
      <c r="G381" s="5" t="inlineStr">
        <is>
          <t>Furniture</t>
        </is>
      </c>
      <c r="H381" s="4" t="inlineStr">
        <is>
          <t>Desk</t>
        </is>
      </c>
      <c r="I381" s="4" t="n">
        <v>17</v>
      </c>
      <c r="J381" s="5" t="n">
        <v>411.14</v>
      </c>
      <c r="K381" s="5" t="n">
        <v>6989.38</v>
      </c>
      <c r="L381" s="5" t="n">
        <v>3844.16</v>
      </c>
      <c r="M381" s="4" t="n">
        <v>3145.22</v>
      </c>
      <c r="N381" s="4" t="inlineStr">
        <is>
          <t>New</t>
        </is>
      </c>
      <c r="O381" s="4" t="inlineStr">
        <is>
          <t>Offline</t>
        </is>
      </c>
      <c r="P381" s="5" t="n">
        <v>7489.4</v>
      </c>
      <c r="Q381" s="5" t="n">
        <v>93.31999999999999</v>
      </c>
      <c r="R381" s="5" t="inlineStr"/>
    </row>
    <row r="382">
      <c r="A382" s="2" t="inlineStr">
        <is>
          <t>ORD-1381</t>
        </is>
      </c>
      <c r="B382" s="3" t="inlineStr">
        <is>
          <t>26-07-2024</t>
        </is>
      </c>
      <c r="C382" s="3" t="inlineStr">
        <is>
          <t>Jul-2024</t>
        </is>
      </c>
      <c r="D382" s="2" t="inlineStr">
        <is>
          <t>North</t>
        </is>
      </c>
      <c r="E382" s="2" t="inlineStr">
        <is>
          <t>Chandigarh</t>
        </is>
      </c>
      <c r="F382" s="3" t="inlineStr">
        <is>
          <t>Sneha Reddy</t>
        </is>
      </c>
      <c r="G382" s="3" t="inlineStr">
        <is>
          <t>Furniture</t>
        </is>
      </c>
      <c r="H382" s="2" t="inlineStr">
        <is>
          <t>Bookshelf</t>
        </is>
      </c>
      <c r="I382" s="2" t="n">
        <v>11</v>
      </c>
      <c r="J382" s="3" t="n">
        <v>194.43</v>
      </c>
      <c r="K382" s="3" t="n">
        <v>2138.73</v>
      </c>
      <c r="L382" s="3" t="n">
        <v>1176.3</v>
      </c>
      <c r="M382" s="2" t="n">
        <v>962.4299999999999</v>
      </c>
      <c r="N382" s="2" t="inlineStr">
        <is>
          <t>New</t>
        </is>
      </c>
      <c r="O382" s="2" t="inlineStr">
        <is>
          <t>Offline</t>
        </is>
      </c>
      <c r="P382" s="3" t="n">
        <v>2776.75</v>
      </c>
      <c r="Q382" s="3" t="n">
        <v>77.02</v>
      </c>
      <c r="R382" s="3" t="inlineStr"/>
    </row>
    <row r="383">
      <c r="A383" s="4" t="inlineStr">
        <is>
          <t>ORD-1382</t>
        </is>
      </c>
      <c r="B383" s="5" t="inlineStr">
        <is>
          <t>26-07-2024</t>
        </is>
      </c>
      <c r="C383" s="5" t="inlineStr">
        <is>
          <t>Jul-2024</t>
        </is>
      </c>
      <c r="D383" s="4" t="inlineStr">
        <is>
          <t>North</t>
        </is>
      </c>
      <c r="E383" s="4" t="inlineStr">
        <is>
          <t>Delhi</t>
        </is>
      </c>
      <c r="F383" s="5" t="inlineStr">
        <is>
          <t>Deepa Nair</t>
        </is>
      </c>
      <c r="G383" s="5" t="inlineStr">
        <is>
          <t>Software</t>
        </is>
      </c>
      <c r="H383" s="4" t="inlineStr">
        <is>
          <t>CRM Tool</t>
        </is>
      </c>
      <c r="I383" s="4" t="n">
        <v>20</v>
      </c>
      <c r="J383" s="5" t="n">
        <v>3251.16</v>
      </c>
      <c r="K383" s="5" t="n">
        <v>65023.2</v>
      </c>
      <c r="L383" s="5" t="n">
        <v>19506.96</v>
      </c>
      <c r="M383" s="4" t="n">
        <v>45516.24</v>
      </c>
      <c r="N383" s="4" t="inlineStr">
        <is>
          <t>New</t>
        </is>
      </c>
      <c r="O383" s="4" t="inlineStr">
        <is>
          <t>Online</t>
        </is>
      </c>
      <c r="P383" s="5" t="n">
        <v>74209.39999999999</v>
      </c>
      <c r="Q383" s="5" t="n">
        <v>87.62</v>
      </c>
      <c r="R383" s="5" t="inlineStr"/>
    </row>
    <row r="384">
      <c r="A384" s="2" t="inlineStr">
        <is>
          <t>ORD-1383</t>
        </is>
      </c>
      <c r="B384" s="3" t="inlineStr">
        <is>
          <t>27-07-2024</t>
        </is>
      </c>
      <c r="C384" s="3" t="inlineStr">
        <is>
          <t>Jul-2024</t>
        </is>
      </c>
      <c r="D384" s="2" t="inlineStr">
        <is>
          <t>West</t>
        </is>
      </c>
      <c r="E384" s="2" t="inlineStr">
        <is>
          <t>Mumbai</t>
        </is>
      </c>
      <c r="F384" s="3" t="inlineStr">
        <is>
          <t>Amit Kumar</t>
        </is>
      </c>
      <c r="G384" s="3" t="inlineStr">
        <is>
          <t>Apparel</t>
        </is>
      </c>
      <c r="H384" s="2" t="inlineStr">
        <is>
          <t>T-Shirt</t>
        </is>
      </c>
      <c r="I384" s="2" t="n">
        <v>1</v>
      </c>
      <c r="J384" s="3" t="n">
        <v>43.29</v>
      </c>
      <c r="K384" s="3" t="n">
        <v>43.29</v>
      </c>
      <c r="L384" s="3" t="n">
        <v>19.48</v>
      </c>
      <c r="M384" s="2" t="n">
        <v>23.81</v>
      </c>
      <c r="N384" s="2" t="inlineStr">
        <is>
          <t>Existing</t>
        </is>
      </c>
      <c r="O384" s="2" t="inlineStr">
        <is>
          <t>Offline</t>
        </is>
      </c>
      <c r="P384" s="3" t="n">
        <v>45.17</v>
      </c>
      <c r="Q384" s="3" t="n">
        <v>95.84</v>
      </c>
      <c r="R384" s="3" t="inlineStr"/>
    </row>
    <row r="385">
      <c r="A385" s="4" t="inlineStr">
        <is>
          <t>ORD-1384</t>
        </is>
      </c>
      <c r="B385" s="5" t="inlineStr">
        <is>
          <t>27-07-2024</t>
        </is>
      </c>
      <c r="C385" s="5" t="inlineStr">
        <is>
          <t>Jul-2024</t>
        </is>
      </c>
      <c r="D385" s="4" t="inlineStr">
        <is>
          <t>East</t>
        </is>
      </c>
      <c r="E385" s="4" t="inlineStr">
        <is>
          <t>Patna</t>
        </is>
      </c>
      <c r="F385" s="5" t="inlineStr">
        <is>
          <t>Sneha Reddy</t>
        </is>
      </c>
      <c r="G385" s="5" t="inlineStr">
        <is>
          <t>Apparel</t>
        </is>
      </c>
      <c r="H385" s="4" t="inlineStr">
        <is>
          <t>Jacket</t>
        </is>
      </c>
      <c r="I385" s="4" t="n">
        <v>4</v>
      </c>
      <c r="J385" s="5" t="n">
        <v>112.02</v>
      </c>
      <c r="K385" s="5" t="n">
        <v>448.08</v>
      </c>
      <c r="L385" s="5" t="n">
        <v>201.64</v>
      </c>
      <c r="M385" s="4" t="n">
        <v>246.44</v>
      </c>
      <c r="N385" s="4" t="inlineStr">
        <is>
          <t>New</t>
        </is>
      </c>
      <c r="O385" s="4" t="inlineStr">
        <is>
          <t>Online</t>
        </is>
      </c>
      <c r="P385" s="5" t="n">
        <v>405.69</v>
      </c>
      <c r="Q385" s="5" t="n">
        <v>110.45</v>
      </c>
      <c r="R385" s="5" t="inlineStr"/>
    </row>
    <row r="386">
      <c r="A386" s="2" t="inlineStr">
        <is>
          <t>ORD-1385</t>
        </is>
      </c>
      <c r="B386" s="3" t="inlineStr">
        <is>
          <t>29-07-2024</t>
        </is>
      </c>
      <c r="C386" s="3" t="inlineStr">
        <is>
          <t>Jul-2024</t>
        </is>
      </c>
      <c r="D386" s="2" t="inlineStr">
        <is>
          <t>West</t>
        </is>
      </c>
      <c r="E386" s="2" t="inlineStr">
        <is>
          <t>Mumbai</t>
        </is>
      </c>
      <c r="F386" s="3" t="inlineStr">
        <is>
          <t>Sneha Reddy</t>
        </is>
      </c>
      <c r="G386" s="3" t="inlineStr">
        <is>
          <t>Software</t>
        </is>
      </c>
      <c r="H386" s="2" t="inlineStr">
        <is>
          <t>ERP Suite</t>
        </is>
      </c>
      <c r="I386" s="2" t="n">
        <v>5</v>
      </c>
      <c r="J386" s="3" t="n">
        <v>4523.75</v>
      </c>
      <c r="K386" s="3" t="n">
        <v>22618.75</v>
      </c>
      <c r="L386" s="3" t="n">
        <v>6785.62</v>
      </c>
      <c r="M386" s="2" t="n">
        <v>15833.13</v>
      </c>
      <c r="N386" s="2" t="inlineStr">
        <is>
          <t>Existing</t>
        </is>
      </c>
      <c r="O386" s="2" t="inlineStr">
        <is>
          <t>Online</t>
        </is>
      </c>
      <c r="P386" s="3" t="n">
        <v>19084.81</v>
      </c>
      <c r="Q386" s="3" t="n">
        <v>118.52</v>
      </c>
      <c r="R386" s="3" t="inlineStr"/>
    </row>
    <row r="387">
      <c r="A387" s="4" t="inlineStr">
        <is>
          <t>ORD-1386</t>
        </is>
      </c>
      <c r="B387" s="5" t="inlineStr">
        <is>
          <t>29-07-2024</t>
        </is>
      </c>
      <c r="C387" s="5" t="inlineStr">
        <is>
          <t>Jul-2024</t>
        </is>
      </c>
      <c r="D387" s="4" t="inlineStr">
        <is>
          <t>North</t>
        </is>
      </c>
      <c r="E387" s="4" t="inlineStr">
        <is>
          <t>Delhi</t>
        </is>
      </c>
      <c r="F387" s="5" t="inlineStr">
        <is>
          <t>Vikram Singh</t>
        </is>
      </c>
      <c r="G387" s="5" t="inlineStr">
        <is>
          <t>Electronics</t>
        </is>
      </c>
      <c r="H387" s="4" t="inlineStr">
        <is>
          <t>Smartphone</t>
        </is>
      </c>
      <c r="I387" s="4" t="n">
        <v>9</v>
      </c>
      <c r="J387" s="5" t="n">
        <v>785.22</v>
      </c>
      <c r="K387" s="5" t="n">
        <v>7066.98</v>
      </c>
      <c r="L387" s="5" t="n">
        <v>4240.19</v>
      </c>
      <c r="M387" s="4" t="n">
        <v>2826.79</v>
      </c>
      <c r="N387" s="4" t="inlineStr">
        <is>
          <t>Existing</t>
        </is>
      </c>
      <c r="O387" s="4" t="inlineStr">
        <is>
          <t>Offline</t>
        </is>
      </c>
      <c r="P387" s="5" t="n">
        <v>7183.67</v>
      </c>
      <c r="Q387" s="5" t="n">
        <v>98.38</v>
      </c>
      <c r="R387" s="5" t="inlineStr"/>
    </row>
    <row r="388">
      <c r="A388" s="2" t="inlineStr">
        <is>
          <t>ORD-1387</t>
        </is>
      </c>
      <c r="B388" s="3" t="inlineStr">
        <is>
          <t>29-07-2024</t>
        </is>
      </c>
      <c r="C388" s="3" t="inlineStr">
        <is>
          <t>Jul-2024</t>
        </is>
      </c>
      <c r="D388" s="2" t="inlineStr">
        <is>
          <t>North</t>
        </is>
      </c>
      <c r="E388" s="2" t="inlineStr">
        <is>
          <t>Chandigarh</t>
        </is>
      </c>
      <c r="F388" s="3" t="inlineStr">
        <is>
          <t>Priya Patel</t>
        </is>
      </c>
      <c r="G388" s="3" t="inlineStr">
        <is>
          <t>Electronics</t>
        </is>
      </c>
      <c r="H388" s="2" t="inlineStr">
        <is>
          <t>Laptop</t>
        </is>
      </c>
      <c r="I388" s="2" t="n">
        <v>19</v>
      </c>
      <c r="J388" s="3" t="n">
        <v>1090.92</v>
      </c>
      <c r="K388" s="3" t="n">
        <v>20727.48</v>
      </c>
      <c r="L388" s="3" t="n">
        <v>12436.49</v>
      </c>
      <c r="M388" s="2" t="n">
        <v>8290.99</v>
      </c>
      <c r="N388" s="2" t="inlineStr">
        <is>
          <t>New</t>
        </is>
      </c>
      <c r="O388" s="2" t="inlineStr">
        <is>
          <t>Offline</t>
        </is>
      </c>
      <c r="P388" s="3" t="n">
        <v>26200.03</v>
      </c>
      <c r="Q388" s="3" t="n">
        <v>79.11</v>
      </c>
      <c r="R388" s="3" t="inlineStr"/>
    </row>
    <row r="389">
      <c r="A389" s="4" t="inlineStr">
        <is>
          <t>ORD-1388</t>
        </is>
      </c>
      <c r="B389" s="5" t="inlineStr">
        <is>
          <t>30-07-2024</t>
        </is>
      </c>
      <c r="C389" s="5" t="inlineStr">
        <is>
          <t>Jul-2024</t>
        </is>
      </c>
      <c r="D389" s="4" t="inlineStr">
        <is>
          <t>East</t>
        </is>
      </c>
      <c r="E389" s="4" t="inlineStr">
        <is>
          <t>Patna</t>
        </is>
      </c>
      <c r="F389" s="5" t="inlineStr">
        <is>
          <t>Vikram Singh</t>
        </is>
      </c>
      <c r="G389" s="5" t="inlineStr">
        <is>
          <t>Electronics</t>
        </is>
      </c>
      <c r="H389" s="4" t="inlineStr">
        <is>
          <t>Tablet</t>
        </is>
      </c>
      <c r="I389" s="4" t="n">
        <v>15</v>
      </c>
      <c r="J389" s="5" t="n">
        <v>585.77</v>
      </c>
      <c r="K389" s="5" t="n">
        <v>8786.549999999999</v>
      </c>
      <c r="L389" s="5" t="n">
        <v>5271.93</v>
      </c>
      <c r="M389" s="4" t="n">
        <v>3514.62</v>
      </c>
      <c r="N389" s="4" t="inlineStr">
        <is>
          <t>New</t>
        </is>
      </c>
      <c r="O389" s="4" t="inlineStr">
        <is>
          <t>Offline</t>
        </is>
      </c>
      <c r="P389" s="5" t="n">
        <v>7716.01</v>
      </c>
      <c r="Q389" s="5" t="n">
        <v>113.87</v>
      </c>
      <c r="R389" s="5" t="inlineStr"/>
    </row>
    <row r="390">
      <c r="A390" s="2" t="inlineStr">
        <is>
          <t>ORD-1389</t>
        </is>
      </c>
      <c r="B390" s="3" t="inlineStr">
        <is>
          <t>31-07-2024</t>
        </is>
      </c>
      <c r="C390" s="3" t="inlineStr">
        <is>
          <t>Jul-2024</t>
        </is>
      </c>
      <c r="D390" s="2" t="inlineStr">
        <is>
          <t>South</t>
        </is>
      </c>
      <c r="E390" s="2" t="inlineStr">
        <is>
          <t>Hyderabad</t>
        </is>
      </c>
      <c r="F390" s="3" t="inlineStr">
        <is>
          <t>Amit Kumar</t>
        </is>
      </c>
      <c r="G390" s="3" t="inlineStr">
        <is>
          <t>Apparel</t>
        </is>
      </c>
      <c r="H390" s="2" t="inlineStr">
        <is>
          <t>Formal Shirt</t>
        </is>
      </c>
      <c r="I390" s="2" t="n">
        <v>10</v>
      </c>
      <c r="J390" s="3" t="n">
        <v>82.84</v>
      </c>
      <c r="K390" s="3" t="n">
        <v>828.4</v>
      </c>
      <c r="L390" s="3" t="n">
        <v>372.78</v>
      </c>
      <c r="M390" s="2" t="n">
        <v>455.62</v>
      </c>
      <c r="N390" s="2" t="inlineStr">
        <is>
          <t>Existing</t>
        </is>
      </c>
      <c r="O390" s="2" t="inlineStr">
        <is>
          <t>Online</t>
        </is>
      </c>
      <c r="P390" s="3" t="n">
        <v>891.99</v>
      </c>
      <c r="Q390" s="3" t="n">
        <v>92.87</v>
      </c>
      <c r="R390" s="3" t="inlineStr"/>
    </row>
    <row r="391">
      <c r="A391" s="4" t="inlineStr">
        <is>
          <t>ORD-1390</t>
        </is>
      </c>
      <c r="B391" s="5" t="inlineStr">
        <is>
          <t>01-08-2024</t>
        </is>
      </c>
      <c r="C391" s="5" t="inlineStr">
        <is>
          <t>Aug-2024</t>
        </is>
      </c>
      <c r="D391" s="4" t="inlineStr">
        <is>
          <t>South</t>
        </is>
      </c>
      <c r="E391" s="4" t="inlineStr">
        <is>
          <t>Chennai</t>
        </is>
      </c>
      <c r="F391" s="5" t="inlineStr">
        <is>
          <t>Rahul Sharma</t>
        </is>
      </c>
      <c r="G391" s="5" t="inlineStr">
        <is>
          <t>Electronics</t>
        </is>
      </c>
      <c r="H391" s="4" t="inlineStr">
        <is>
          <t>Smartwatch</t>
        </is>
      </c>
      <c r="I391" s="4" t="n">
        <v>18</v>
      </c>
      <c r="J391" s="5" t="n">
        <v>302.85</v>
      </c>
      <c r="K391" s="5" t="n">
        <v>5451.3</v>
      </c>
      <c r="L391" s="5" t="n">
        <v>3270.78</v>
      </c>
      <c r="M391" s="4" t="n">
        <v>2180.52</v>
      </c>
      <c r="N391" s="4" t="inlineStr">
        <is>
          <t>New</t>
        </is>
      </c>
      <c r="O391" s="4" t="inlineStr">
        <is>
          <t>Offline</t>
        </is>
      </c>
      <c r="P391" s="5" t="n">
        <v>4933.57</v>
      </c>
      <c r="Q391" s="5" t="n">
        <v>110.49</v>
      </c>
      <c r="R391" s="5" t="inlineStr"/>
    </row>
    <row r="392">
      <c r="A392" s="2" t="inlineStr">
        <is>
          <t>ORD-1391</t>
        </is>
      </c>
      <c r="B392" s="3" t="inlineStr">
        <is>
          <t>01-08-2024</t>
        </is>
      </c>
      <c r="C392" s="3" t="inlineStr">
        <is>
          <t>Aug-2024</t>
        </is>
      </c>
      <c r="D392" s="2" t="inlineStr">
        <is>
          <t>East</t>
        </is>
      </c>
      <c r="E392" s="2" t="inlineStr">
        <is>
          <t>Kolkata</t>
        </is>
      </c>
      <c r="F392" s="3" t="inlineStr">
        <is>
          <t>Amit Kumar</t>
        </is>
      </c>
      <c r="G392" s="3" t="inlineStr">
        <is>
          <t>Furniture</t>
        </is>
      </c>
      <c r="H392" s="2" t="inlineStr">
        <is>
          <t>Desk</t>
        </is>
      </c>
      <c r="I392" s="2" t="n">
        <v>6</v>
      </c>
      <c r="J392" s="3" t="n">
        <v>424.87</v>
      </c>
      <c r="K392" s="3" t="n">
        <v>2549.22</v>
      </c>
      <c r="L392" s="3" t="n">
        <v>1402.07</v>
      </c>
      <c r="M392" s="2" t="n">
        <v>1147.15</v>
      </c>
      <c r="N392" s="2" t="inlineStr">
        <is>
          <t>Existing</t>
        </is>
      </c>
      <c r="O392" s="2" t="inlineStr">
        <is>
          <t>Online</t>
        </is>
      </c>
      <c r="P392" s="3" t="n">
        <v>2185.48</v>
      </c>
      <c r="Q392" s="3" t="n">
        <v>116.64</v>
      </c>
      <c r="R392" s="3" t="inlineStr"/>
    </row>
    <row r="393">
      <c r="A393" s="4" t="inlineStr">
        <is>
          <t>ORD-1392</t>
        </is>
      </c>
      <c r="B393" s="5" t="inlineStr">
        <is>
          <t>01-08-2024</t>
        </is>
      </c>
      <c r="C393" s="5" t="inlineStr">
        <is>
          <t>Aug-2024</t>
        </is>
      </c>
      <c r="D393" s="4" t="inlineStr">
        <is>
          <t>North</t>
        </is>
      </c>
      <c r="E393" s="4" t="inlineStr">
        <is>
          <t>Lucknow</t>
        </is>
      </c>
      <c r="F393" s="5" t="inlineStr">
        <is>
          <t>Pooja Joshi</t>
        </is>
      </c>
      <c r="G393" s="5" t="inlineStr">
        <is>
          <t>Electronics</t>
        </is>
      </c>
      <c r="H393" s="4" t="inlineStr">
        <is>
          <t>Tablet</t>
        </is>
      </c>
      <c r="I393" s="4" t="n">
        <v>3</v>
      </c>
      <c r="J393" s="5" t="n">
        <v>570.08</v>
      </c>
      <c r="K393" s="5" t="n">
        <v>1710.24</v>
      </c>
      <c r="L393" s="5" t="n">
        <v>1026.14</v>
      </c>
      <c r="M393" s="4" t="n">
        <v>684.1</v>
      </c>
      <c r="N393" s="4" t="inlineStr">
        <is>
          <t>New</t>
        </is>
      </c>
      <c r="O393" s="4" t="inlineStr">
        <is>
          <t>Offline</t>
        </is>
      </c>
      <c r="P393" s="5" t="n">
        <v>2181.87</v>
      </c>
      <c r="Q393" s="5" t="n">
        <v>78.38</v>
      </c>
      <c r="R393" s="5" t="inlineStr"/>
    </row>
    <row r="394">
      <c r="A394" s="2" t="inlineStr">
        <is>
          <t>ORD-1393</t>
        </is>
      </c>
      <c r="B394" s="3" t="inlineStr">
        <is>
          <t>02-08-2024</t>
        </is>
      </c>
      <c r="C394" s="3" t="inlineStr">
        <is>
          <t>Aug-2024</t>
        </is>
      </c>
      <c r="D394" s="2" t="inlineStr">
        <is>
          <t>South</t>
        </is>
      </c>
      <c r="E394" s="2" t="inlineStr">
        <is>
          <t>Hyderabad</t>
        </is>
      </c>
      <c r="F394" s="3" t="inlineStr">
        <is>
          <t>Sneha Reddy</t>
        </is>
      </c>
      <c r="G394" s="3" t="inlineStr">
        <is>
          <t>Electronics</t>
        </is>
      </c>
      <c r="H394" s="2" t="inlineStr">
        <is>
          <t>Tablet</t>
        </is>
      </c>
      <c r="I394" s="2" t="n">
        <v>20</v>
      </c>
      <c r="J394" s="3" t="n">
        <v>548.38</v>
      </c>
      <c r="K394" s="3" t="n">
        <v>10967.6</v>
      </c>
      <c r="L394" s="3" t="n">
        <v>6580.56</v>
      </c>
      <c r="M394" s="2" t="n">
        <v>4387.04</v>
      </c>
      <c r="N394" s="2" t="inlineStr">
        <is>
          <t>New</t>
        </is>
      </c>
      <c r="O394" s="2" t="inlineStr">
        <is>
          <t>Offline</t>
        </is>
      </c>
      <c r="P394" s="3" t="n">
        <v>11438.45</v>
      </c>
      <c r="Q394" s="3" t="n">
        <v>95.88</v>
      </c>
      <c r="R394" s="3" t="inlineStr"/>
    </row>
    <row r="395">
      <c r="A395" s="4" t="inlineStr">
        <is>
          <t>ORD-1394</t>
        </is>
      </c>
      <c r="B395" s="5" t="inlineStr">
        <is>
          <t>02-08-2024</t>
        </is>
      </c>
      <c r="C395" s="5" t="inlineStr">
        <is>
          <t>Aug-2024</t>
        </is>
      </c>
      <c r="D395" s="4" t="inlineStr">
        <is>
          <t>East</t>
        </is>
      </c>
      <c r="E395" s="4" t="inlineStr">
        <is>
          <t>Patna</t>
        </is>
      </c>
      <c r="F395" s="5" t="inlineStr">
        <is>
          <t>Vikram Singh</t>
        </is>
      </c>
      <c r="G395" s="5" t="inlineStr">
        <is>
          <t>Furniture</t>
        </is>
      </c>
      <c r="H395" s="4" t="inlineStr">
        <is>
          <t>Bookshelf</t>
        </is>
      </c>
      <c r="I395" s="4" t="n">
        <v>11</v>
      </c>
      <c r="J395" s="5" t="n">
        <v>218.35</v>
      </c>
      <c r="K395" s="5" t="n">
        <v>2401.85</v>
      </c>
      <c r="L395" s="5" t="n">
        <v>1321.02</v>
      </c>
      <c r="M395" s="4" t="n">
        <v>1080.83</v>
      </c>
      <c r="N395" s="4" t="inlineStr">
        <is>
          <t>New</t>
        </is>
      </c>
      <c r="O395" s="4" t="inlineStr">
        <is>
          <t>Online</t>
        </is>
      </c>
      <c r="P395" s="5" t="n">
        <v>2297.63</v>
      </c>
      <c r="Q395" s="5" t="n">
        <v>104.54</v>
      </c>
      <c r="R395" s="5" t="inlineStr"/>
    </row>
    <row r="396">
      <c r="A396" s="2" t="inlineStr">
        <is>
          <t>ORD-1395</t>
        </is>
      </c>
      <c r="B396" s="3" t="inlineStr">
        <is>
          <t>03-08-2024</t>
        </is>
      </c>
      <c r="C396" s="3" t="inlineStr">
        <is>
          <t>Aug-2024</t>
        </is>
      </c>
      <c r="D396" s="2" t="inlineStr">
        <is>
          <t>West</t>
        </is>
      </c>
      <c r="E396" s="2" t="inlineStr">
        <is>
          <t>Ahmedabad</t>
        </is>
      </c>
      <c r="F396" s="3" t="inlineStr">
        <is>
          <t>Deepa Nair</t>
        </is>
      </c>
      <c r="G396" s="3" t="inlineStr">
        <is>
          <t>Furniture</t>
        </is>
      </c>
      <c r="H396" s="2" t="inlineStr">
        <is>
          <t>Bookshelf</t>
        </is>
      </c>
      <c r="I396" s="2" t="n">
        <v>16</v>
      </c>
      <c r="J396" s="3" t="n">
        <v>198.51</v>
      </c>
      <c r="K396" s="3" t="n">
        <v>3176.16</v>
      </c>
      <c r="L396" s="3" t="n">
        <v>1746.89</v>
      </c>
      <c r="M396" s="2" t="n">
        <v>1429.27</v>
      </c>
      <c r="N396" s="2" t="inlineStr">
        <is>
          <t>Existing</t>
        </is>
      </c>
      <c r="O396" s="2" t="inlineStr">
        <is>
          <t>Offline</t>
        </is>
      </c>
      <c r="P396" s="3" t="n">
        <v>3314.28</v>
      </c>
      <c r="Q396" s="3" t="n">
        <v>95.83</v>
      </c>
      <c r="R396" s="3" t="inlineStr"/>
    </row>
    <row r="397">
      <c r="A397" s="4" t="inlineStr">
        <is>
          <t>ORD-1396</t>
        </is>
      </c>
      <c r="B397" s="5" t="inlineStr">
        <is>
          <t>05-08-2024</t>
        </is>
      </c>
      <c r="C397" s="5" t="inlineStr">
        <is>
          <t>Aug-2024</t>
        </is>
      </c>
      <c r="D397" s="4" t="inlineStr">
        <is>
          <t>North</t>
        </is>
      </c>
      <c r="E397" s="4" t="inlineStr">
        <is>
          <t>Chandigarh</t>
        </is>
      </c>
      <c r="F397" s="5" t="inlineStr">
        <is>
          <t>Arjun Mehta</t>
        </is>
      </c>
      <c r="G397" s="5" t="inlineStr">
        <is>
          <t>Furniture</t>
        </is>
      </c>
      <c r="H397" s="4" t="inlineStr">
        <is>
          <t>Bookshelf</t>
        </is>
      </c>
      <c r="I397" s="4" t="n">
        <v>3</v>
      </c>
      <c r="J397" s="5" t="n">
        <v>209.1</v>
      </c>
      <c r="K397" s="5" t="n">
        <v>627.3</v>
      </c>
      <c r="L397" s="5" t="n">
        <v>345.01</v>
      </c>
      <c r="M397" s="4" t="n">
        <v>282.29</v>
      </c>
      <c r="N397" s="4" t="inlineStr">
        <is>
          <t>New</t>
        </is>
      </c>
      <c r="O397" s="4" t="inlineStr">
        <is>
          <t>Online</t>
        </is>
      </c>
      <c r="P397" s="5" t="n">
        <v>756.73</v>
      </c>
      <c r="Q397" s="5" t="n">
        <v>82.90000000000001</v>
      </c>
      <c r="R397" s="5" t="inlineStr"/>
    </row>
    <row r="398">
      <c r="A398" s="2" t="inlineStr">
        <is>
          <t>ORD-1397</t>
        </is>
      </c>
      <c r="B398" s="3" t="inlineStr">
        <is>
          <t>06-08-2024</t>
        </is>
      </c>
      <c r="C398" s="3" t="inlineStr">
        <is>
          <t>Aug-2024</t>
        </is>
      </c>
      <c r="D398" s="2" t="inlineStr">
        <is>
          <t>West</t>
        </is>
      </c>
      <c r="E398" s="2" t="inlineStr">
        <is>
          <t>Pune</t>
        </is>
      </c>
      <c r="F398" s="3" t="inlineStr">
        <is>
          <t>Sneha Reddy</t>
        </is>
      </c>
      <c r="G398" s="3" t="inlineStr">
        <is>
          <t>Electronics</t>
        </is>
      </c>
      <c r="H398" s="2" t="inlineStr">
        <is>
          <t>Tablet</t>
        </is>
      </c>
      <c r="I398" s="2" t="n">
        <v>18</v>
      </c>
      <c r="J398" s="3" t="n">
        <v>647.28</v>
      </c>
      <c r="K398" s="3" t="n">
        <v>11651.04</v>
      </c>
      <c r="L398" s="3" t="n">
        <v>6990.62</v>
      </c>
      <c r="M398" s="2" t="n">
        <v>4660.42</v>
      </c>
      <c r="N398" s="2" t="inlineStr">
        <is>
          <t>Existing</t>
        </is>
      </c>
      <c r="O398" s="2" t="inlineStr">
        <is>
          <t>Online</t>
        </is>
      </c>
      <c r="P398" s="3" t="n">
        <v>11451.92</v>
      </c>
      <c r="Q398" s="3" t="n">
        <v>101.74</v>
      </c>
      <c r="R398" s="3" t="inlineStr"/>
    </row>
    <row r="399">
      <c r="A399" s="4" t="inlineStr">
        <is>
          <t>ORD-1398</t>
        </is>
      </c>
      <c r="B399" s="5" t="inlineStr">
        <is>
          <t>06-08-2024</t>
        </is>
      </c>
      <c r="C399" s="5" t="inlineStr">
        <is>
          <t>Aug-2024</t>
        </is>
      </c>
      <c r="D399" s="4" t="inlineStr">
        <is>
          <t>South</t>
        </is>
      </c>
      <c r="E399" s="4" t="inlineStr">
        <is>
          <t>Hyderabad</t>
        </is>
      </c>
      <c r="F399" s="5" t="inlineStr">
        <is>
          <t>Vikram Singh</t>
        </is>
      </c>
      <c r="G399" s="5" t="inlineStr">
        <is>
          <t>Furniture</t>
        </is>
      </c>
      <c r="H399" s="4" t="inlineStr">
        <is>
          <t>Cabinet</t>
        </is>
      </c>
      <c r="I399" s="4" t="n">
        <v>17</v>
      </c>
      <c r="J399" s="5" t="n">
        <v>300.62</v>
      </c>
      <c r="K399" s="5" t="n">
        <v>5110.54</v>
      </c>
      <c r="L399" s="5" t="n">
        <v>2810.8</v>
      </c>
      <c r="M399" s="4" t="n">
        <v>2299.74</v>
      </c>
      <c r="N399" s="4" t="inlineStr">
        <is>
          <t>Existing</t>
        </is>
      </c>
      <c r="O399" s="4" t="inlineStr">
        <is>
          <t>Offline</t>
        </is>
      </c>
      <c r="P399" s="5" t="n">
        <v>5371.6</v>
      </c>
      <c r="Q399" s="5" t="n">
        <v>95.14</v>
      </c>
      <c r="R399" s="5" t="inlineStr"/>
    </row>
    <row r="400">
      <c r="A400" s="2" t="inlineStr">
        <is>
          <t>ORD-1399</t>
        </is>
      </c>
      <c r="B400" s="3" t="inlineStr">
        <is>
          <t>06-08-2024</t>
        </is>
      </c>
      <c r="C400" s="3" t="inlineStr">
        <is>
          <t>Aug-2024</t>
        </is>
      </c>
      <c r="D400" s="2" t="inlineStr">
        <is>
          <t>South</t>
        </is>
      </c>
      <c r="E400" s="2" t="inlineStr">
        <is>
          <t>Hyderabad</t>
        </is>
      </c>
      <c r="F400" s="3" t="inlineStr">
        <is>
          <t>Arjun Mehta</t>
        </is>
      </c>
      <c r="G400" s="3" t="inlineStr">
        <is>
          <t>Furniture</t>
        </is>
      </c>
      <c r="H400" s="2" t="inlineStr">
        <is>
          <t>Cabinet</t>
        </is>
      </c>
      <c r="I400" s="2" t="n">
        <v>6</v>
      </c>
      <c r="J400" s="3" t="n">
        <v>280.75</v>
      </c>
      <c r="K400" s="3" t="n">
        <v>1684.5</v>
      </c>
      <c r="L400" s="3" t="n">
        <v>926.48</v>
      </c>
      <c r="M400" s="2" t="n">
        <v>758.02</v>
      </c>
      <c r="N400" s="2" t="inlineStr">
        <is>
          <t>New</t>
        </is>
      </c>
      <c r="O400" s="2" t="inlineStr">
        <is>
          <t>Offline</t>
        </is>
      </c>
      <c r="P400" s="3" t="n">
        <v>2138.62</v>
      </c>
      <c r="Q400" s="3" t="n">
        <v>78.77</v>
      </c>
      <c r="R400" s="3" t="inlineStr"/>
    </row>
    <row r="401">
      <c r="A401" s="4" t="inlineStr">
        <is>
          <t>ORD-1400</t>
        </is>
      </c>
      <c r="B401" s="5" t="inlineStr">
        <is>
          <t>07-08-2024</t>
        </is>
      </c>
      <c r="C401" s="5" t="inlineStr">
        <is>
          <t>Aug-2024</t>
        </is>
      </c>
      <c r="D401" s="4" t="inlineStr">
        <is>
          <t>South</t>
        </is>
      </c>
      <c r="E401" s="4" t="inlineStr">
        <is>
          <t>Bangalore</t>
        </is>
      </c>
      <c r="F401" s="5" t="inlineStr">
        <is>
          <t>Sneha Reddy</t>
        </is>
      </c>
      <c r="G401" s="5" t="inlineStr">
        <is>
          <t>Electronics</t>
        </is>
      </c>
      <c r="H401" s="4" t="inlineStr">
        <is>
          <t>Tablet</t>
        </is>
      </c>
      <c r="I401" s="4" t="n">
        <v>12</v>
      </c>
      <c r="J401" s="5" t="n">
        <v>568.08</v>
      </c>
      <c r="K401" s="5" t="n">
        <v>6816.96</v>
      </c>
      <c r="L401" s="5" t="n">
        <v>4090.18</v>
      </c>
      <c r="M401" s="4" t="n">
        <v>2726.78</v>
      </c>
      <c r="N401" s="4" t="inlineStr">
        <is>
          <t>New</t>
        </is>
      </c>
      <c r="O401" s="4" t="inlineStr">
        <is>
          <t>Offline</t>
        </is>
      </c>
      <c r="P401" s="5" t="n">
        <v>6776.38</v>
      </c>
      <c r="Q401" s="5" t="n">
        <v>100.6</v>
      </c>
      <c r="R401" s="5" t="inlineStr"/>
    </row>
    <row r="402">
      <c r="A402" s="2" t="inlineStr">
        <is>
          <t>ORD-1401</t>
        </is>
      </c>
      <c r="B402" s="3" t="inlineStr">
        <is>
          <t>08-08-2024</t>
        </is>
      </c>
      <c r="C402" s="3" t="inlineStr">
        <is>
          <t>Aug-2024</t>
        </is>
      </c>
      <c r="D402" s="2" t="inlineStr">
        <is>
          <t>North</t>
        </is>
      </c>
      <c r="E402" s="2" t="inlineStr">
        <is>
          <t>Delhi</t>
        </is>
      </c>
      <c r="F402" s="3" t="inlineStr">
        <is>
          <t>Deepa Nair</t>
        </is>
      </c>
      <c r="G402" s="3" t="inlineStr">
        <is>
          <t>Electronics</t>
        </is>
      </c>
      <c r="H402" s="2" t="inlineStr">
        <is>
          <t>Tablet</t>
        </is>
      </c>
      <c r="I402" s="2" t="n">
        <v>9</v>
      </c>
      <c r="J402" s="3" t="n">
        <v>609.4400000000001</v>
      </c>
      <c r="K402" s="3" t="n">
        <v>5484.96</v>
      </c>
      <c r="L402" s="3" t="n">
        <v>3290.98</v>
      </c>
      <c r="M402" s="2" t="n">
        <v>2193.98</v>
      </c>
      <c r="N402" s="2" t="inlineStr">
        <is>
          <t>New</t>
        </is>
      </c>
      <c r="O402" s="2" t="inlineStr">
        <is>
          <t>Offline</t>
        </is>
      </c>
      <c r="P402" s="3" t="n">
        <v>6180.66</v>
      </c>
      <c r="Q402" s="3" t="n">
        <v>88.73999999999999</v>
      </c>
      <c r="R402" s="3" t="inlineStr"/>
    </row>
    <row r="403">
      <c r="A403" s="4" t="inlineStr">
        <is>
          <t>ORD-1402</t>
        </is>
      </c>
      <c r="B403" s="5" t="inlineStr">
        <is>
          <t>08-08-2024</t>
        </is>
      </c>
      <c r="C403" s="5" t="inlineStr">
        <is>
          <t>Aug-2024</t>
        </is>
      </c>
      <c r="D403" s="4" t="inlineStr">
        <is>
          <t>East</t>
        </is>
      </c>
      <c r="E403" s="4" t="inlineStr">
        <is>
          <t>Patna</t>
        </is>
      </c>
      <c r="F403" s="5" t="inlineStr">
        <is>
          <t>Priya Patel</t>
        </is>
      </c>
      <c r="G403" s="5" t="inlineStr">
        <is>
          <t>Apparel</t>
        </is>
      </c>
      <c r="H403" s="4" t="inlineStr">
        <is>
          <t>Trousers</t>
        </is>
      </c>
      <c r="I403" s="4" t="n">
        <v>8</v>
      </c>
      <c r="J403" s="5" t="n">
        <v>70.23</v>
      </c>
      <c r="K403" s="5" t="n">
        <v>561.84</v>
      </c>
      <c r="L403" s="5" t="n">
        <v>252.83</v>
      </c>
      <c r="M403" s="4" t="n">
        <v>309.01</v>
      </c>
      <c r="N403" s="4" t="inlineStr">
        <is>
          <t>Existing</t>
        </is>
      </c>
      <c r="O403" s="4" t="inlineStr">
        <is>
          <t>Offline</t>
        </is>
      </c>
      <c r="P403" s="5" t="n">
        <v>586.24</v>
      </c>
      <c r="Q403" s="5" t="n">
        <v>95.84</v>
      </c>
      <c r="R403" s="5" t="inlineStr"/>
    </row>
    <row r="404">
      <c r="A404" s="2" t="inlineStr">
        <is>
          <t>ORD-1403</t>
        </is>
      </c>
      <c r="B404" s="3" t="inlineStr">
        <is>
          <t>09-08-2024</t>
        </is>
      </c>
      <c r="C404" s="3" t="inlineStr">
        <is>
          <t>Aug-2024</t>
        </is>
      </c>
      <c r="D404" s="2" t="inlineStr">
        <is>
          <t>North</t>
        </is>
      </c>
      <c r="E404" s="2" t="inlineStr">
        <is>
          <t>Lucknow</t>
        </is>
      </c>
      <c r="F404" s="3" t="inlineStr">
        <is>
          <t>Arjun Mehta</t>
        </is>
      </c>
      <c r="G404" s="3" t="inlineStr">
        <is>
          <t>Software</t>
        </is>
      </c>
      <c r="H404" s="2" t="inlineStr">
        <is>
          <t>CRM Tool</t>
        </is>
      </c>
      <c r="I404" s="2" t="n">
        <v>8</v>
      </c>
      <c r="J404" s="3" t="n">
        <v>2746.25</v>
      </c>
      <c r="K404" s="3" t="n">
        <v>21970</v>
      </c>
      <c r="L404" s="3" t="n">
        <v>6591</v>
      </c>
      <c r="M404" s="2" t="n">
        <v>15379</v>
      </c>
      <c r="N404" s="2" t="inlineStr">
        <is>
          <t>Existing</t>
        </is>
      </c>
      <c r="O404" s="2" t="inlineStr">
        <is>
          <t>Online</t>
        </is>
      </c>
      <c r="P404" s="3" t="n">
        <v>19226.39</v>
      </c>
      <c r="Q404" s="3" t="n">
        <v>114.27</v>
      </c>
      <c r="R404" s="3" t="inlineStr"/>
    </row>
    <row r="405">
      <c r="A405" s="4" t="inlineStr">
        <is>
          <t>ORD-1404</t>
        </is>
      </c>
      <c r="B405" s="5" t="inlineStr">
        <is>
          <t>09-08-2024</t>
        </is>
      </c>
      <c r="C405" s="5" t="inlineStr">
        <is>
          <t>Aug-2024</t>
        </is>
      </c>
      <c r="D405" s="4" t="inlineStr">
        <is>
          <t>South</t>
        </is>
      </c>
      <c r="E405" s="4" t="inlineStr">
        <is>
          <t>Bangalore</t>
        </is>
      </c>
      <c r="F405" s="5" t="inlineStr">
        <is>
          <t>Kavita Rao</t>
        </is>
      </c>
      <c r="G405" s="5" t="inlineStr">
        <is>
          <t>Electronics</t>
        </is>
      </c>
      <c r="H405" s="4" t="inlineStr">
        <is>
          <t>Smartphone</t>
        </is>
      </c>
      <c r="I405" s="4" t="n">
        <v>14</v>
      </c>
      <c r="J405" s="5" t="n">
        <v>849.79</v>
      </c>
      <c r="K405" s="5" t="n">
        <v>11897.06</v>
      </c>
      <c r="L405" s="5" t="n">
        <v>7138.24</v>
      </c>
      <c r="M405" s="4" t="n">
        <v>4758.82</v>
      </c>
      <c r="N405" s="4" t="inlineStr">
        <is>
          <t>New</t>
        </is>
      </c>
      <c r="O405" s="4" t="inlineStr">
        <is>
          <t>Offline</t>
        </is>
      </c>
      <c r="P405" s="5" t="n">
        <v>13534.27</v>
      </c>
      <c r="Q405" s="5" t="n">
        <v>87.90000000000001</v>
      </c>
      <c r="R405" s="5" t="inlineStr"/>
    </row>
    <row r="406">
      <c r="A406" s="2" t="inlineStr">
        <is>
          <t>ORD-1405</t>
        </is>
      </c>
      <c r="B406" s="3" t="inlineStr">
        <is>
          <t>10-08-2024</t>
        </is>
      </c>
      <c r="C406" s="3" t="inlineStr">
        <is>
          <t>Aug-2024</t>
        </is>
      </c>
      <c r="D406" s="2" t="inlineStr">
        <is>
          <t>South</t>
        </is>
      </c>
      <c r="E406" s="2" t="inlineStr">
        <is>
          <t>Hyderabad</t>
        </is>
      </c>
      <c r="F406" s="3" t="inlineStr">
        <is>
          <t>Arjun Mehta</t>
        </is>
      </c>
      <c r="G406" s="3" t="inlineStr">
        <is>
          <t>Software</t>
        </is>
      </c>
      <c r="H406" s="2" t="inlineStr">
        <is>
          <t>ERP Suite</t>
        </is>
      </c>
      <c r="I406" s="2" t="n">
        <v>8</v>
      </c>
      <c r="J406" s="3" t="n">
        <v>4543.14</v>
      </c>
      <c r="K406" s="3" t="n">
        <v>36345.12</v>
      </c>
      <c r="L406" s="3" t="n">
        <v>10903.54</v>
      </c>
      <c r="M406" s="2" t="n">
        <v>25441.58</v>
      </c>
      <c r="N406" s="2" t="inlineStr">
        <is>
          <t>New</t>
        </is>
      </c>
      <c r="O406" s="2" t="inlineStr">
        <is>
          <t>Online</t>
        </is>
      </c>
      <c r="P406" s="3" t="n">
        <v>40516.46</v>
      </c>
      <c r="Q406" s="3" t="n">
        <v>89.7</v>
      </c>
      <c r="R406" s="3" t="inlineStr"/>
    </row>
    <row r="407">
      <c r="A407" s="4" t="inlineStr">
        <is>
          <t>ORD-1406</t>
        </is>
      </c>
      <c r="B407" s="5" t="inlineStr">
        <is>
          <t>10-08-2024</t>
        </is>
      </c>
      <c r="C407" s="5" t="inlineStr">
        <is>
          <t>Aug-2024</t>
        </is>
      </c>
      <c r="D407" s="4" t="inlineStr">
        <is>
          <t>North</t>
        </is>
      </c>
      <c r="E407" s="4" t="inlineStr">
        <is>
          <t>Lucknow</t>
        </is>
      </c>
      <c r="F407" s="5" t="inlineStr">
        <is>
          <t>Arjun Mehta</t>
        </is>
      </c>
      <c r="G407" s="5" t="inlineStr">
        <is>
          <t>Electronics</t>
        </is>
      </c>
      <c r="H407" s="4" t="inlineStr">
        <is>
          <t>Smartphone</t>
        </is>
      </c>
      <c r="I407" s="4" t="n">
        <v>9</v>
      </c>
      <c r="J407" s="5" t="n">
        <v>867.59</v>
      </c>
      <c r="K407" s="5" t="n">
        <v>7808.31</v>
      </c>
      <c r="L407" s="5" t="n">
        <v>4684.99</v>
      </c>
      <c r="M407" s="4" t="n">
        <v>3123.32</v>
      </c>
      <c r="N407" s="4" t="inlineStr">
        <is>
          <t>Existing</t>
        </is>
      </c>
      <c r="O407" s="4" t="inlineStr">
        <is>
          <t>Online</t>
        </is>
      </c>
      <c r="P407" s="5" t="n">
        <v>9676.48</v>
      </c>
      <c r="Q407" s="5" t="n">
        <v>80.69</v>
      </c>
      <c r="R407" s="5" t="inlineStr"/>
    </row>
    <row r="408">
      <c r="A408" s="2" t="inlineStr">
        <is>
          <t>ORD-1407</t>
        </is>
      </c>
      <c r="B408" s="3" t="inlineStr">
        <is>
          <t>11-08-2024</t>
        </is>
      </c>
      <c r="C408" s="3" t="inlineStr">
        <is>
          <t>Aug-2024</t>
        </is>
      </c>
      <c r="D408" s="2" t="inlineStr">
        <is>
          <t>North</t>
        </is>
      </c>
      <c r="E408" s="2" t="inlineStr">
        <is>
          <t>Delhi</t>
        </is>
      </c>
      <c r="F408" s="3" t="inlineStr">
        <is>
          <t>Pooja Joshi</t>
        </is>
      </c>
      <c r="G408" s="3" t="inlineStr">
        <is>
          <t>Software</t>
        </is>
      </c>
      <c r="H408" s="2" t="inlineStr">
        <is>
          <t>HR System</t>
        </is>
      </c>
      <c r="I408" s="2" t="n">
        <v>6</v>
      </c>
      <c r="J408" s="3" t="n">
        <v>1887.75</v>
      </c>
      <c r="K408" s="3" t="n">
        <v>11326.5</v>
      </c>
      <c r="L408" s="3" t="n">
        <v>3397.95</v>
      </c>
      <c r="M408" s="2" t="n">
        <v>7928.55</v>
      </c>
      <c r="N408" s="2" t="inlineStr">
        <is>
          <t>Existing</t>
        </is>
      </c>
      <c r="O408" s="2" t="inlineStr">
        <is>
          <t>Online</t>
        </is>
      </c>
      <c r="P408" s="3" t="n">
        <v>13561.31</v>
      </c>
      <c r="Q408" s="3" t="n">
        <v>83.52</v>
      </c>
      <c r="R408" s="3" t="inlineStr"/>
    </row>
    <row r="409">
      <c r="A409" s="4" t="inlineStr">
        <is>
          <t>ORD-1408</t>
        </is>
      </c>
      <c r="B409" s="5" t="inlineStr">
        <is>
          <t>12-08-2024</t>
        </is>
      </c>
      <c r="C409" s="5" t="inlineStr">
        <is>
          <t>Aug-2024</t>
        </is>
      </c>
      <c r="D409" s="4" t="inlineStr">
        <is>
          <t>East</t>
        </is>
      </c>
      <c r="E409" s="4" t="inlineStr">
        <is>
          <t>Kolkata</t>
        </is>
      </c>
      <c r="F409" s="5" t="inlineStr">
        <is>
          <t>Deepa Nair</t>
        </is>
      </c>
      <c r="G409" s="5" t="inlineStr">
        <is>
          <t>Software</t>
        </is>
      </c>
      <c r="H409" s="4" t="inlineStr">
        <is>
          <t>ERP Suite</t>
        </is>
      </c>
      <c r="I409" s="4" t="n">
        <v>8</v>
      </c>
      <c r="J409" s="5" t="n">
        <v>4878.21</v>
      </c>
      <c r="K409" s="5" t="n">
        <v>39025.68</v>
      </c>
      <c r="L409" s="5" t="n">
        <v>11707.7</v>
      </c>
      <c r="M409" s="4" t="n">
        <v>27317.98</v>
      </c>
      <c r="N409" s="4" t="inlineStr">
        <is>
          <t>New</t>
        </is>
      </c>
      <c r="O409" s="4" t="inlineStr">
        <is>
          <t>Online</t>
        </is>
      </c>
      <c r="P409" s="5" t="n">
        <v>31543.73</v>
      </c>
      <c r="Q409" s="5" t="n">
        <v>123.72</v>
      </c>
      <c r="R409" s="5" t="inlineStr"/>
    </row>
    <row r="410">
      <c r="A410" s="2" t="inlineStr">
        <is>
          <t>ORD-1409</t>
        </is>
      </c>
      <c r="B410" s="3" t="inlineStr">
        <is>
          <t>13-08-2024</t>
        </is>
      </c>
      <c r="C410" s="3" t="inlineStr">
        <is>
          <t>Aug-2024</t>
        </is>
      </c>
      <c r="D410" s="2" t="inlineStr">
        <is>
          <t>West</t>
        </is>
      </c>
      <c r="E410" s="2" t="inlineStr">
        <is>
          <t>Mumbai</t>
        </is>
      </c>
      <c r="F410" s="3" t="inlineStr">
        <is>
          <t>Kavita Rao</t>
        </is>
      </c>
      <c r="G410" s="3" t="inlineStr">
        <is>
          <t>Electronics</t>
        </is>
      </c>
      <c r="H410" s="2" t="inlineStr">
        <is>
          <t>Smartphone</t>
        </is>
      </c>
      <c r="I410" s="2" t="n">
        <v>16</v>
      </c>
      <c r="J410" s="3" t="n">
        <v>864.26</v>
      </c>
      <c r="K410" s="3" t="n">
        <v>13828.16</v>
      </c>
      <c r="L410" s="3" t="n">
        <v>8296.9</v>
      </c>
      <c r="M410" s="2" t="n">
        <v>5531.26</v>
      </c>
      <c r="N410" s="2" t="inlineStr">
        <is>
          <t>New</t>
        </is>
      </c>
      <c r="O410" s="2" t="inlineStr">
        <is>
          <t>Online</t>
        </is>
      </c>
      <c r="P410" s="3" t="n">
        <v>11706.85</v>
      </c>
      <c r="Q410" s="3" t="n">
        <v>118.12</v>
      </c>
      <c r="R410" s="3" t="inlineStr"/>
    </row>
    <row r="411">
      <c r="A411" s="4" t="inlineStr">
        <is>
          <t>ORD-1410</t>
        </is>
      </c>
      <c r="B411" s="5" t="inlineStr">
        <is>
          <t>13-08-2024</t>
        </is>
      </c>
      <c r="C411" s="5" t="inlineStr">
        <is>
          <t>Aug-2024</t>
        </is>
      </c>
      <c r="D411" s="4" t="inlineStr">
        <is>
          <t>South</t>
        </is>
      </c>
      <c r="E411" s="4" t="inlineStr">
        <is>
          <t>Hyderabad</t>
        </is>
      </c>
      <c r="F411" s="5" t="inlineStr">
        <is>
          <t>Ravi Verma</t>
        </is>
      </c>
      <c r="G411" s="5" t="inlineStr">
        <is>
          <t>Electronics</t>
        </is>
      </c>
      <c r="H411" s="4" t="inlineStr">
        <is>
          <t>Smartwatch</t>
        </is>
      </c>
      <c r="I411" s="4" t="n">
        <v>17</v>
      </c>
      <c r="J411" s="5" t="n">
        <v>295.24</v>
      </c>
      <c r="K411" s="5" t="n">
        <v>5019.08</v>
      </c>
      <c r="L411" s="5" t="n">
        <v>3011.45</v>
      </c>
      <c r="M411" s="4" t="n">
        <v>2007.63</v>
      </c>
      <c r="N411" s="4" t="inlineStr">
        <is>
          <t>New</t>
        </is>
      </c>
      <c r="O411" s="4" t="inlineStr">
        <is>
          <t>Offline</t>
        </is>
      </c>
      <c r="P411" s="5" t="n">
        <v>4591.17</v>
      </c>
      <c r="Q411" s="5" t="n">
        <v>109.32</v>
      </c>
      <c r="R411" s="5" t="inlineStr"/>
    </row>
    <row r="412">
      <c r="A412" s="2" t="inlineStr">
        <is>
          <t>ORD-1411</t>
        </is>
      </c>
      <c r="B412" s="3" t="inlineStr">
        <is>
          <t>13-08-2024</t>
        </is>
      </c>
      <c r="C412" s="3" t="inlineStr">
        <is>
          <t>Aug-2024</t>
        </is>
      </c>
      <c r="D412" s="2" t="inlineStr">
        <is>
          <t>West</t>
        </is>
      </c>
      <c r="E412" s="2" t="inlineStr">
        <is>
          <t>Ahmedabad</t>
        </is>
      </c>
      <c r="F412" s="3" t="inlineStr">
        <is>
          <t>Deepa Nair</t>
        </is>
      </c>
      <c r="G412" s="3" t="inlineStr">
        <is>
          <t>Electronics</t>
        </is>
      </c>
      <c r="H412" s="2" t="inlineStr">
        <is>
          <t>Smartwatch</t>
        </is>
      </c>
      <c r="I412" s="2" t="n">
        <v>5</v>
      </c>
      <c r="J412" s="3" t="n">
        <v>285.27</v>
      </c>
      <c r="K412" s="3" t="n">
        <v>1426.35</v>
      </c>
      <c r="L412" s="3" t="n">
        <v>855.8099999999999</v>
      </c>
      <c r="M412" s="2" t="n">
        <v>570.54</v>
      </c>
      <c r="N412" s="2" t="inlineStr">
        <is>
          <t>New</t>
        </is>
      </c>
      <c r="O412" s="2" t="inlineStr">
        <is>
          <t>Online</t>
        </is>
      </c>
      <c r="P412" s="3" t="n">
        <v>1343.1</v>
      </c>
      <c r="Q412" s="3" t="n">
        <v>106.2</v>
      </c>
      <c r="R412" s="3" t="inlineStr"/>
    </row>
    <row r="413">
      <c r="A413" s="4" t="inlineStr">
        <is>
          <t>ORD-1412</t>
        </is>
      </c>
      <c r="B413" s="5" t="inlineStr">
        <is>
          <t>14-08-2024</t>
        </is>
      </c>
      <c r="C413" s="5" t="inlineStr">
        <is>
          <t>Aug-2024</t>
        </is>
      </c>
      <c r="D413" s="4" t="inlineStr">
        <is>
          <t>West</t>
        </is>
      </c>
      <c r="E413" s="4" t="inlineStr">
        <is>
          <t>Ahmedabad</t>
        </is>
      </c>
      <c r="F413" s="5" t="inlineStr">
        <is>
          <t>Sneha Reddy</t>
        </is>
      </c>
      <c r="G413" s="5" t="inlineStr">
        <is>
          <t>Electronics</t>
        </is>
      </c>
      <c r="H413" s="4" t="inlineStr">
        <is>
          <t>Laptop</t>
        </is>
      </c>
      <c r="I413" s="4" t="n">
        <v>19</v>
      </c>
      <c r="J413" s="5" t="n">
        <v>1205.41</v>
      </c>
      <c r="K413" s="5" t="n">
        <v>22902.79</v>
      </c>
      <c r="L413" s="5" t="n">
        <v>13741.67</v>
      </c>
      <c r="M413" s="4" t="n">
        <v>9161.120000000001</v>
      </c>
      <c r="N413" s="4" t="inlineStr">
        <is>
          <t>New</t>
        </is>
      </c>
      <c r="O413" s="4" t="inlineStr">
        <is>
          <t>Offline</t>
        </is>
      </c>
      <c r="P413" s="5" t="n">
        <v>25817.7</v>
      </c>
      <c r="Q413" s="5" t="n">
        <v>88.70999999999999</v>
      </c>
      <c r="R413" s="5" t="inlineStr"/>
    </row>
    <row r="414">
      <c r="A414" s="2" t="inlineStr">
        <is>
          <t>ORD-1413</t>
        </is>
      </c>
      <c r="B414" s="3" t="inlineStr">
        <is>
          <t>14-08-2024</t>
        </is>
      </c>
      <c r="C414" s="3" t="inlineStr">
        <is>
          <t>Aug-2024</t>
        </is>
      </c>
      <c r="D414" s="2" t="inlineStr">
        <is>
          <t>East</t>
        </is>
      </c>
      <c r="E414" s="2" t="inlineStr">
        <is>
          <t>Bhubaneswar</t>
        </is>
      </c>
      <c r="F414" s="3" t="inlineStr">
        <is>
          <t>Deepa Nair</t>
        </is>
      </c>
      <c r="G414" s="3" t="inlineStr">
        <is>
          <t>Electronics</t>
        </is>
      </c>
      <c r="H414" s="2" t="inlineStr">
        <is>
          <t>Smartphone</t>
        </is>
      </c>
      <c r="I414" s="2" t="n">
        <v>14</v>
      </c>
      <c r="J414" s="3" t="n">
        <v>824.25</v>
      </c>
      <c r="K414" s="3" t="n">
        <v>11539.5</v>
      </c>
      <c r="L414" s="3" t="n">
        <v>6923.7</v>
      </c>
      <c r="M414" s="2" t="n">
        <v>4615.8</v>
      </c>
      <c r="N414" s="2" t="inlineStr">
        <is>
          <t>Existing</t>
        </is>
      </c>
      <c r="O414" s="2" t="inlineStr">
        <is>
          <t>Offline</t>
        </is>
      </c>
      <c r="P414" s="3" t="n">
        <v>14164.6</v>
      </c>
      <c r="Q414" s="3" t="n">
        <v>81.47</v>
      </c>
      <c r="R414" s="3" t="inlineStr"/>
    </row>
    <row r="415">
      <c r="A415" s="4" t="inlineStr">
        <is>
          <t>ORD-1414</t>
        </is>
      </c>
      <c r="B415" s="5" t="inlineStr">
        <is>
          <t>14-08-2024</t>
        </is>
      </c>
      <c r="C415" s="5" t="inlineStr">
        <is>
          <t>Aug-2024</t>
        </is>
      </c>
      <c r="D415" s="4" t="inlineStr">
        <is>
          <t>West</t>
        </is>
      </c>
      <c r="E415" s="4" t="inlineStr">
        <is>
          <t>Pune</t>
        </is>
      </c>
      <c r="F415" s="5" t="inlineStr">
        <is>
          <t>Deepa Nair</t>
        </is>
      </c>
      <c r="G415" s="5" t="inlineStr">
        <is>
          <t>Apparel</t>
        </is>
      </c>
      <c r="H415" s="4" t="inlineStr">
        <is>
          <t>Trousers</t>
        </is>
      </c>
      <c r="I415" s="4" t="n">
        <v>7</v>
      </c>
      <c r="J415" s="5" t="n">
        <v>68.79000000000001</v>
      </c>
      <c r="K415" s="5" t="n">
        <v>481.53</v>
      </c>
      <c r="L415" s="5" t="n">
        <v>216.69</v>
      </c>
      <c r="M415" s="4" t="n">
        <v>264.84</v>
      </c>
      <c r="N415" s="4" t="inlineStr">
        <is>
          <t>Existing</t>
        </is>
      </c>
      <c r="O415" s="4" t="inlineStr">
        <is>
          <t>Online</t>
        </is>
      </c>
      <c r="P415" s="5" t="n">
        <v>474.36</v>
      </c>
      <c r="Q415" s="5" t="n">
        <v>101.51</v>
      </c>
      <c r="R415" s="5" t="inlineStr"/>
    </row>
    <row r="416">
      <c r="A416" s="2" t="inlineStr">
        <is>
          <t>ORD-1415</t>
        </is>
      </c>
      <c r="B416" s="3" t="inlineStr">
        <is>
          <t>15-08-2024</t>
        </is>
      </c>
      <c r="C416" s="3" t="inlineStr">
        <is>
          <t>Aug-2024</t>
        </is>
      </c>
      <c r="D416" s="2" t="inlineStr">
        <is>
          <t>West</t>
        </is>
      </c>
      <c r="E416" s="2" t="inlineStr">
        <is>
          <t>Ahmedabad</t>
        </is>
      </c>
      <c r="F416" s="3" t="inlineStr">
        <is>
          <t>Vikram Singh</t>
        </is>
      </c>
      <c r="G416" s="3" t="inlineStr">
        <is>
          <t>Apparel</t>
        </is>
      </c>
      <c r="H416" s="2" t="inlineStr">
        <is>
          <t>Trousers</t>
        </is>
      </c>
      <c r="I416" s="2" t="n">
        <v>5</v>
      </c>
      <c r="J416" s="3" t="n">
        <v>74.97</v>
      </c>
      <c r="K416" s="3" t="n">
        <v>374.85</v>
      </c>
      <c r="L416" s="3" t="n">
        <v>168.68</v>
      </c>
      <c r="M416" s="2" t="n">
        <v>206.17</v>
      </c>
      <c r="N416" s="2" t="inlineStr">
        <is>
          <t>New</t>
        </is>
      </c>
      <c r="O416" s="2" t="inlineStr">
        <is>
          <t>Online</t>
        </is>
      </c>
      <c r="P416" s="3" t="n">
        <v>383.58</v>
      </c>
      <c r="Q416" s="3" t="n">
        <v>97.72</v>
      </c>
      <c r="R416" s="3" t="inlineStr"/>
    </row>
    <row r="417">
      <c r="A417" s="4" t="inlineStr">
        <is>
          <t>ORD-1416</t>
        </is>
      </c>
      <c r="B417" s="5" t="inlineStr">
        <is>
          <t>15-08-2024</t>
        </is>
      </c>
      <c r="C417" s="5" t="inlineStr">
        <is>
          <t>Aug-2024</t>
        </is>
      </c>
      <c r="D417" s="4" t="inlineStr">
        <is>
          <t>South</t>
        </is>
      </c>
      <c r="E417" s="4" t="inlineStr">
        <is>
          <t>Chennai</t>
        </is>
      </c>
      <c r="F417" s="5" t="inlineStr">
        <is>
          <t>Sneha Reddy</t>
        </is>
      </c>
      <c r="G417" s="5" t="inlineStr">
        <is>
          <t>Software</t>
        </is>
      </c>
      <c r="H417" s="4" t="inlineStr">
        <is>
          <t>Analytics Pro</t>
        </is>
      </c>
      <c r="I417" s="4" t="n">
        <v>18</v>
      </c>
      <c r="J417" s="5" t="n">
        <v>2557.01</v>
      </c>
      <c r="K417" s="5" t="n">
        <v>46026.18</v>
      </c>
      <c r="L417" s="5" t="n">
        <v>13807.85</v>
      </c>
      <c r="M417" s="4" t="n">
        <v>32218.33</v>
      </c>
      <c r="N417" s="4" t="inlineStr">
        <is>
          <t>New</t>
        </is>
      </c>
      <c r="O417" s="4" t="inlineStr">
        <is>
          <t>Online</t>
        </is>
      </c>
      <c r="P417" s="5" t="n">
        <v>45775.42</v>
      </c>
      <c r="Q417" s="5" t="n">
        <v>100.55</v>
      </c>
      <c r="R417" s="5" t="inlineStr"/>
    </row>
    <row r="418">
      <c r="A418" s="2" t="inlineStr">
        <is>
          <t>ORD-1417</t>
        </is>
      </c>
      <c r="B418" s="3" t="inlineStr">
        <is>
          <t>15-08-2024</t>
        </is>
      </c>
      <c r="C418" s="3" t="inlineStr">
        <is>
          <t>Aug-2024</t>
        </is>
      </c>
      <c r="D418" s="2" t="inlineStr">
        <is>
          <t>North</t>
        </is>
      </c>
      <c r="E418" s="2" t="inlineStr">
        <is>
          <t>Delhi</t>
        </is>
      </c>
      <c r="F418" s="3" t="inlineStr">
        <is>
          <t>Arjun Mehta</t>
        </is>
      </c>
      <c r="G418" s="3" t="inlineStr">
        <is>
          <t>Software</t>
        </is>
      </c>
      <c r="H418" s="2" t="inlineStr">
        <is>
          <t>HR System</t>
        </is>
      </c>
      <c r="I418" s="2" t="n">
        <v>3</v>
      </c>
      <c r="J418" s="3" t="n">
        <v>1825.63</v>
      </c>
      <c r="K418" s="3" t="n">
        <v>5476.89</v>
      </c>
      <c r="L418" s="3" t="n">
        <v>1643.07</v>
      </c>
      <c r="M418" s="2" t="n">
        <v>3833.82</v>
      </c>
      <c r="N418" s="2" t="inlineStr">
        <is>
          <t>New</t>
        </is>
      </c>
      <c r="O418" s="2" t="inlineStr">
        <is>
          <t>Offline</t>
        </is>
      </c>
      <c r="P418" s="3" t="n">
        <v>4600.7</v>
      </c>
      <c r="Q418" s="3" t="n">
        <v>119.04</v>
      </c>
      <c r="R418" s="3" t="inlineStr"/>
    </row>
    <row r="419">
      <c r="A419" s="4" t="inlineStr">
        <is>
          <t>ORD-1418</t>
        </is>
      </c>
      <c r="B419" s="5" t="inlineStr">
        <is>
          <t>16-08-2024</t>
        </is>
      </c>
      <c r="C419" s="5" t="inlineStr">
        <is>
          <t>Aug-2024</t>
        </is>
      </c>
      <c r="D419" s="4" t="inlineStr">
        <is>
          <t>West</t>
        </is>
      </c>
      <c r="E419" s="4" t="inlineStr">
        <is>
          <t>Ahmedabad</t>
        </is>
      </c>
      <c r="F419" s="5" t="inlineStr">
        <is>
          <t>Kavita Rao</t>
        </is>
      </c>
      <c r="G419" s="5" t="inlineStr">
        <is>
          <t>Apparel</t>
        </is>
      </c>
      <c r="H419" s="4" t="inlineStr">
        <is>
          <t>Jacket</t>
        </is>
      </c>
      <c r="I419" s="4" t="n">
        <v>6</v>
      </c>
      <c r="J419" s="5" t="n">
        <v>123.37</v>
      </c>
      <c r="K419" s="5" t="n">
        <v>740.22</v>
      </c>
      <c r="L419" s="5" t="n">
        <v>333.1</v>
      </c>
      <c r="M419" s="4" t="n">
        <v>407.12</v>
      </c>
      <c r="N419" s="4" t="inlineStr">
        <is>
          <t>Existing</t>
        </is>
      </c>
      <c r="O419" s="4" t="inlineStr">
        <is>
          <t>Online</t>
        </is>
      </c>
      <c r="P419" s="5" t="n">
        <v>666.83</v>
      </c>
      <c r="Q419" s="5" t="n">
        <v>111.01</v>
      </c>
      <c r="R419" s="5" t="inlineStr"/>
    </row>
    <row r="420">
      <c r="A420" s="2" t="inlineStr">
        <is>
          <t>ORD-1419</t>
        </is>
      </c>
      <c r="B420" s="3" t="inlineStr">
        <is>
          <t>17-08-2024</t>
        </is>
      </c>
      <c r="C420" s="3" t="inlineStr">
        <is>
          <t>Aug-2024</t>
        </is>
      </c>
      <c r="D420" s="2" t="inlineStr">
        <is>
          <t>East</t>
        </is>
      </c>
      <c r="E420" s="2" t="inlineStr">
        <is>
          <t>Kolkata</t>
        </is>
      </c>
      <c r="F420" s="3" t="inlineStr">
        <is>
          <t>Rahul Sharma</t>
        </is>
      </c>
      <c r="G420" s="3" t="inlineStr">
        <is>
          <t>Furniture</t>
        </is>
      </c>
      <c r="H420" s="2" t="inlineStr">
        <is>
          <t>Desk</t>
        </is>
      </c>
      <c r="I420" s="2" t="n">
        <v>2</v>
      </c>
      <c r="J420" s="3" t="n">
        <v>437.38</v>
      </c>
      <c r="K420" s="3" t="n">
        <v>874.76</v>
      </c>
      <c r="L420" s="3" t="n">
        <v>481.12</v>
      </c>
      <c r="M420" s="2" t="n">
        <v>393.64</v>
      </c>
      <c r="N420" s="2" t="inlineStr">
        <is>
          <t>New</t>
        </is>
      </c>
      <c r="O420" s="2" t="inlineStr">
        <is>
          <t>Online</t>
        </is>
      </c>
      <c r="P420" s="3" t="n">
        <v>737.79</v>
      </c>
      <c r="Q420" s="3" t="n">
        <v>118.56</v>
      </c>
      <c r="R420" s="3" t="inlineStr"/>
    </row>
    <row r="421">
      <c r="A421" s="4" t="inlineStr">
        <is>
          <t>ORD-1420</t>
        </is>
      </c>
      <c r="B421" s="5" t="inlineStr">
        <is>
          <t>17-08-2024</t>
        </is>
      </c>
      <c r="C421" s="5" t="inlineStr">
        <is>
          <t>Aug-2024</t>
        </is>
      </c>
      <c r="D421" s="4" t="inlineStr">
        <is>
          <t>East</t>
        </is>
      </c>
      <c r="E421" s="4" t="inlineStr">
        <is>
          <t>Bhubaneswar</t>
        </is>
      </c>
      <c r="F421" s="5" t="inlineStr">
        <is>
          <t>Deepa Nair</t>
        </is>
      </c>
      <c r="G421" s="5" t="inlineStr">
        <is>
          <t>Software</t>
        </is>
      </c>
      <c r="H421" s="4" t="inlineStr">
        <is>
          <t>HR System</t>
        </is>
      </c>
      <c r="I421" s="4" t="n">
        <v>19</v>
      </c>
      <c r="J421" s="5" t="n">
        <v>1880.12</v>
      </c>
      <c r="K421" s="5" t="n">
        <v>35722.28</v>
      </c>
      <c r="L421" s="5" t="n">
        <v>10716.68</v>
      </c>
      <c r="M421" s="4" t="n">
        <v>25005.6</v>
      </c>
      <c r="N421" s="4" t="inlineStr">
        <is>
          <t>New</t>
        </is>
      </c>
      <c r="O421" s="4" t="inlineStr">
        <is>
          <t>Online</t>
        </is>
      </c>
      <c r="P421" s="5" t="n">
        <v>44995.38</v>
      </c>
      <c r="Q421" s="5" t="n">
        <v>79.39</v>
      </c>
      <c r="R421" s="5" t="inlineStr"/>
    </row>
    <row r="422">
      <c r="A422" s="2" t="inlineStr">
        <is>
          <t>ORD-1421</t>
        </is>
      </c>
      <c r="B422" s="3" t="inlineStr">
        <is>
          <t>17-08-2024</t>
        </is>
      </c>
      <c r="C422" s="3" t="inlineStr">
        <is>
          <t>Aug-2024</t>
        </is>
      </c>
      <c r="D422" s="2" t="inlineStr">
        <is>
          <t>East</t>
        </is>
      </c>
      <c r="E422" s="2" t="inlineStr">
        <is>
          <t>Patna</t>
        </is>
      </c>
      <c r="F422" s="3" t="inlineStr">
        <is>
          <t>Ravi Verma</t>
        </is>
      </c>
      <c r="G422" s="3" t="inlineStr">
        <is>
          <t>Apparel</t>
        </is>
      </c>
      <c r="H422" s="2" t="inlineStr">
        <is>
          <t>T-Shirt</t>
        </is>
      </c>
      <c r="I422" s="2" t="n">
        <v>9</v>
      </c>
      <c r="J422" s="3" t="n">
        <v>37.81</v>
      </c>
      <c r="K422" s="3" t="n">
        <v>340.29</v>
      </c>
      <c r="L422" s="3" t="n">
        <v>153.13</v>
      </c>
      <c r="M422" s="2" t="n">
        <v>187.16</v>
      </c>
      <c r="N422" s="2" t="inlineStr">
        <is>
          <t>New</t>
        </is>
      </c>
      <c r="O422" s="2" t="inlineStr">
        <is>
          <t>Offline</t>
        </is>
      </c>
      <c r="P422" s="3" t="n">
        <v>430.42</v>
      </c>
      <c r="Q422" s="3" t="n">
        <v>79.06</v>
      </c>
      <c r="R422" s="3" t="inlineStr"/>
    </row>
    <row r="423">
      <c r="A423" s="4" t="inlineStr">
        <is>
          <t>ORD-1422</t>
        </is>
      </c>
      <c r="B423" s="5" t="inlineStr">
        <is>
          <t>19-08-2024</t>
        </is>
      </c>
      <c r="C423" s="5" t="inlineStr">
        <is>
          <t>Aug-2024</t>
        </is>
      </c>
      <c r="D423" s="4" t="inlineStr">
        <is>
          <t>South</t>
        </is>
      </c>
      <c r="E423" s="4" t="inlineStr">
        <is>
          <t>Bangalore</t>
        </is>
      </c>
      <c r="F423" s="5" t="inlineStr">
        <is>
          <t>Ravi Verma</t>
        </is>
      </c>
      <c r="G423" s="5" t="inlineStr">
        <is>
          <t>Electronics</t>
        </is>
      </c>
      <c r="H423" s="4" t="inlineStr">
        <is>
          <t>Laptop</t>
        </is>
      </c>
      <c r="I423" s="4" t="n">
        <v>17</v>
      </c>
      <c r="J423" s="5" t="n">
        <v>1150.62</v>
      </c>
      <c r="K423" s="5" t="n">
        <v>19560.54</v>
      </c>
      <c r="L423" s="5" t="n">
        <v>11736.32</v>
      </c>
      <c r="M423" s="4" t="n">
        <v>7824.22</v>
      </c>
      <c r="N423" s="4" t="inlineStr">
        <is>
          <t>New</t>
        </is>
      </c>
      <c r="O423" s="4" t="inlineStr">
        <is>
          <t>Offline</t>
        </is>
      </c>
      <c r="P423" s="5" t="n">
        <v>24217.05</v>
      </c>
      <c r="Q423" s="5" t="n">
        <v>80.77</v>
      </c>
      <c r="R423" s="5" t="inlineStr"/>
    </row>
    <row r="424">
      <c r="A424" s="2" t="inlineStr">
        <is>
          <t>ORD-1423</t>
        </is>
      </c>
      <c r="B424" s="3" t="inlineStr">
        <is>
          <t>19-08-2024</t>
        </is>
      </c>
      <c r="C424" s="3" t="inlineStr">
        <is>
          <t>Aug-2024</t>
        </is>
      </c>
      <c r="D424" s="2" t="inlineStr">
        <is>
          <t>East</t>
        </is>
      </c>
      <c r="E424" s="2" t="inlineStr">
        <is>
          <t>Patna</t>
        </is>
      </c>
      <c r="F424" s="3" t="inlineStr">
        <is>
          <t>Pooja Joshi</t>
        </is>
      </c>
      <c r="G424" s="3" t="inlineStr">
        <is>
          <t>Software</t>
        </is>
      </c>
      <c r="H424" s="2" t="inlineStr">
        <is>
          <t>HR System</t>
        </is>
      </c>
      <c r="I424" s="2" t="n">
        <v>8</v>
      </c>
      <c r="J424" s="3" t="n">
        <v>2102.99</v>
      </c>
      <c r="K424" s="3" t="n">
        <v>16823.92</v>
      </c>
      <c r="L424" s="3" t="n">
        <v>5047.18</v>
      </c>
      <c r="M424" s="2" t="n">
        <v>11776.74</v>
      </c>
      <c r="N424" s="2" t="inlineStr">
        <is>
          <t>Existing</t>
        </is>
      </c>
      <c r="O424" s="2" t="inlineStr">
        <is>
          <t>Offline</t>
        </is>
      </c>
      <c r="P424" s="3" t="n">
        <v>21000.66</v>
      </c>
      <c r="Q424" s="3" t="n">
        <v>80.11</v>
      </c>
      <c r="R424" s="3" t="inlineStr"/>
    </row>
    <row r="425">
      <c r="A425" s="4" t="inlineStr">
        <is>
          <t>ORD-1424</t>
        </is>
      </c>
      <c r="B425" s="5" t="inlineStr">
        <is>
          <t>20-08-2024</t>
        </is>
      </c>
      <c r="C425" s="5" t="inlineStr">
        <is>
          <t>Aug-2024</t>
        </is>
      </c>
      <c r="D425" s="4" t="inlineStr">
        <is>
          <t>West</t>
        </is>
      </c>
      <c r="E425" s="4" t="inlineStr">
        <is>
          <t>Mumbai</t>
        </is>
      </c>
      <c r="F425" s="5" t="inlineStr">
        <is>
          <t>Vikram Singh</t>
        </is>
      </c>
      <c r="G425" s="5" t="inlineStr">
        <is>
          <t>Electronics</t>
        </is>
      </c>
      <c r="H425" s="4" t="inlineStr">
        <is>
          <t>Smartwatch</t>
        </is>
      </c>
      <c r="I425" s="4" t="n">
        <v>8</v>
      </c>
      <c r="J425" s="5" t="n">
        <v>310.61</v>
      </c>
      <c r="K425" s="5" t="n">
        <v>2484.88</v>
      </c>
      <c r="L425" s="5" t="n">
        <v>1490.93</v>
      </c>
      <c r="M425" s="4" t="n">
        <v>993.95</v>
      </c>
      <c r="N425" s="4" t="inlineStr">
        <is>
          <t>New</t>
        </is>
      </c>
      <c r="O425" s="4" t="inlineStr">
        <is>
          <t>Offline</t>
        </is>
      </c>
      <c r="P425" s="5" t="n">
        <v>2500.32</v>
      </c>
      <c r="Q425" s="5" t="n">
        <v>99.38</v>
      </c>
      <c r="R425" s="5" t="inlineStr"/>
    </row>
    <row r="426">
      <c r="A426" s="2" t="inlineStr">
        <is>
          <t>ORD-1425</t>
        </is>
      </c>
      <c r="B426" s="3" t="inlineStr">
        <is>
          <t>21-08-2024</t>
        </is>
      </c>
      <c r="C426" s="3" t="inlineStr">
        <is>
          <t>Aug-2024</t>
        </is>
      </c>
      <c r="D426" s="2" t="inlineStr">
        <is>
          <t>North</t>
        </is>
      </c>
      <c r="E426" s="2" t="inlineStr">
        <is>
          <t>Lucknow</t>
        </is>
      </c>
      <c r="F426" s="3" t="inlineStr">
        <is>
          <t>Vikram Singh</t>
        </is>
      </c>
      <c r="G426" s="3" t="inlineStr">
        <is>
          <t>Furniture</t>
        </is>
      </c>
      <c r="H426" s="2" t="inlineStr">
        <is>
          <t>Bookshelf</t>
        </is>
      </c>
      <c r="I426" s="2" t="n">
        <v>3</v>
      </c>
      <c r="J426" s="3" t="n">
        <v>195.96</v>
      </c>
      <c r="K426" s="3" t="n">
        <v>587.88</v>
      </c>
      <c r="L426" s="3" t="n">
        <v>323.33</v>
      </c>
      <c r="M426" s="2" t="n">
        <v>264.55</v>
      </c>
      <c r="N426" s="2" t="inlineStr">
        <is>
          <t>Existing</t>
        </is>
      </c>
      <c r="O426" s="2" t="inlineStr">
        <is>
          <t>Online</t>
        </is>
      </c>
      <c r="P426" s="3" t="n">
        <v>633.3099999999999</v>
      </c>
      <c r="Q426" s="3" t="n">
        <v>92.83</v>
      </c>
      <c r="R426" s="3" t="inlineStr"/>
    </row>
    <row r="427">
      <c r="A427" s="4" t="inlineStr">
        <is>
          <t>ORD-1426</t>
        </is>
      </c>
      <c r="B427" s="5" t="inlineStr">
        <is>
          <t>21-08-2024</t>
        </is>
      </c>
      <c r="C427" s="5" t="inlineStr">
        <is>
          <t>Aug-2024</t>
        </is>
      </c>
      <c r="D427" s="4" t="inlineStr">
        <is>
          <t>South</t>
        </is>
      </c>
      <c r="E427" s="4" t="inlineStr">
        <is>
          <t>Bangalore</t>
        </is>
      </c>
      <c r="F427" s="5" t="inlineStr">
        <is>
          <t>Deepa Nair</t>
        </is>
      </c>
      <c r="G427" s="5" t="inlineStr">
        <is>
          <t>Apparel</t>
        </is>
      </c>
      <c r="H427" s="4" t="inlineStr">
        <is>
          <t>Formal Shirt</t>
        </is>
      </c>
      <c r="I427" s="4" t="n">
        <v>19</v>
      </c>
      <c r="J427" s="5" t="n">
        <v>76.31</v>
      </c>
      <c r="K427" s="5" t="n">
        <v>1449.89</v>
      </c>
      <c r="L427" s="5" t="n">
        <v>652.45</v>
      </c>
      <c r="M427" s="4" t="n">
        <v>797.4400000000001</v>
      </c>
      <c r="N427" s="4" t="inlineStr">
        <is>
          <t>New</t>
        </is>
      </c>
      <c r="O427" s="4" t="inlineStr">
        <is>
          <t>Offline</t>
        </is>
      </c>
      <c r="P427" s="5" t="n">
        <v>1694.28</v>
      </c>
      <c r="Q427" s="5" t="n">
        <v>85.58</v>
      </c>
      <c r="R427" s="5" t="inlineStr"/>
    </row>
    <row r="428">
      <c r="A428" s="2" t="inlineStr">
        <is>
          <t>ORD-1427</t>
        </is>
      </c>
      <c r="B428" s="3" t="inlineStr">
        <is>
          <t>22-08-2024</t>
        </is>
      </c>
      <c r="C428" s="3" t="inlineStr">
        <is>
          <t>Aug-2024</t>
        </is>
      </c>
      <c r="D428" s="2" t="inlineStr">
        <is>
          <t>South</t>
        </is>
      </c>
      <c r="E428" s="2" t="inlineStr">
        <is>
          <t>Bangalore</t>
        </is>
      </c>
      <c r="F428" s="3" t="inlineStr">
        <is>
          <t>Sneha Reddy</t>
        </is>
      </c>
      <c r="G428" s="3" t="inlineStr">
        <is>
          <t>Furniture</t>
        </is>
      </c>
      <c r="H428" s="2" t="inlineStr">
        <is>
          <t>Desk</t>
        </is>
      </c>
      <c r="I428" s="2" t="n">
        <v>8</v>
      </c>
      <c r="J428" s="3" t="n">
        <v>480.27</v>
      </c>
      <c r="K428" s="3" t="n">
        <v>3842.16</v>
      </c>
      <c r="L428" s="3" t="n">
        <v>2113.19</v>
      </c>
      <c r="M428" s="2" t="n">
        <v>1728.97</v>
      </c>
      <c r="N428" s="2" t="inlineStr">
        <is>
          <t>Existing</t>
        </is>
      </c>
      <c r="O428" s="2" t="inlineStr">
        <is>
          <t>Online</t>
        </is>
      </c>
      <c r="P428" s="3" t="n">
        <v>4570.13</v>
      </c>
      <c r="Q428" s="3" t="n">
        <v>84.06999999999999</v>
      </c>
      <c r="R428" s="3" t="inlineStr"/>
    </row>
    <row r="429">
      <c r="A429" s="4" t="inlineStr">
        <is>
          <t>ORD-1428</t>
        </is>
      </c>
      <c r="B429" s="5" t="inlineStr">
        <is>
          <t>23-08-2024</t>
        </is>
      </c>
      <c r="C429" s="5" t="inlineStr">
        <is>
          <t>Aug-2024</t>
        </is>
      </c>
      <c r="D429" s="4" t="inlineStr">
        <is>
          <t>North</t>
        </is>
      </c>
      <c r="E429" s="4" t="inlineStr">
        <is>
          <t>Lucknow</t>
        </is>
      </c>
      <c r="F429" s="5" t="inlineStr">
        <is>
          <t>Pooja Joshi</t>
        </is>
      </c>
      <c r="G429" s="5" t="inlineStr">
        <is>
          <t>Electronics</t>
        </is>
      </c>
      <c r="H429" s="4" t="inlineStr">
        <is>
          <t>Laptop</t>
        </is>
      </c>
      <c r="I429" s="4" t="n">
        <v>16</v>
      </c>
      <c r="J429" s="5" t="n">
        <v>1169.09</v>
      </c>
      <c r="K429" s="5" t="n">
        <v>18705.44</v>
      </c>
      <c r="L429" s="5" t="n">
        <v>11223.26</v>
      </c>
      <c r="M429" s="4" t="n">
        <v>7482.18</v>
      </c>
      <c r="N429" s="4" t="inlineStr">
        <is>
          <t>Existing</t>
        </is>
      </c>
      <c r="O429" s="4" t="inlineStr">
        <is>
          <t>Offline</t>
        </is>
      </c>
      <c r="P429" s="5" t="n">
        <v>23364.23</v>
      </c>
      <c r="Q429" s="5" t="n">
        <v>80.06</v>
      </c>
      <c r="R429" s="5" t="inlineStr"/>
    </row>
    <row r="430">
      <c r="A430" s="2" t="inlineStr">
        <is>
          <t>ORD-1429</t>
        </is>
      </c>
      <c r="B430" s="3" t="inlineStr">
        <is>
          <t>24-08-2024</t>
        </is>
      </c>
      <c r="C430" s="3" t="inlineStr">
        <is>
          <t>Aug-2024</t>
        </is>
      </c>
      <c r="D430" s="2" t="inlineStr">
        <is>
          <t>East</t>
        </is>
      </c>
      <c r="E430" s="2" t="inlineStr">
        <is>
          <t>Bhubaneswar</t>
        </is>
      </c>
      <c r="F430" s="3" t="inlineStr">
        <is>
          <t>Arjun Mehta</t>
        </is>
      </c>
      <c r="G430" s="3" t="inlineStr">
        <is>
          <t>Apparel</t>
        </is>
      </c>
      <c r="H430" s="2" t="inlineStr">
        <is>
          <t>Trousers</t>
        </is>
      </c>
      <c r="I430" s="2" t="n">
        <v>8</v>
      </c>
      <c r="J430" s="3" t="n">
        <v>73.5</v>
      </c>
      <c r="K430" s="3" t="n">
        <v>588</v>
      </c>
      <c r="L430" s="3" t="n">
        <v>264.6</v>
      </c>
      <c r="M430" s="2" t="n">
        <v>323.4</v>
      </c>
      <c r="N430" s="2" t="inlineStr">
        <is>
          <t>New</t>
        </is>
      </c>
      <c r="O430" s="2" t="inlineStr">
        <is>
          <t>Online</t>
        </is>
      </c>
      <c r="P430" s="3" t="n">
        <v>624.97</v>
      </c>
      <c r="Q430" s="3" t="n">
        <v>94.08</v>
      </c>
      <c r="R430" s="3" t="inlineStr"/>
    </row>
    <row r="431">
      <c r="A431" s="4" t="inlineStr">
        <is>
          <t>ORD-1430</t>
        </is>
      </c>
      <c r="B431" s="5" t="inlineStr">
        <is>
          <t>24-08-2024</t>
        </is>
      </c>
      <c r="C431" s="5" t="inlineStr">
        <is>
          <t>Aug-2024</t>
        </is>
      </c>
      <c r="D431" s="4" t="inlineStr">
        <is>
          <t>West</t>
        </is>
      </c>
      <c r="E431" s="4" t="inlineStr">
        <is>
          <t>Ahmedabad</t>
        </is>
      </c>
      <c r="F431" s="5" t="inlineStr">
        <is>
          <t>Ravi Verma</t>
        </is>
      </c>
      <c r="G431" s="5" t="inlineStr">
        <is>
          <t>Electronics</t>
        </is>
      </c>
      <c r="H431" s="4" t="inlineStr">
        <is>
          <t>Tablet</t>
        </is>
      </c>
      <c r="I431" s="4" t="n">
        <v>13</v>
      </c>
      <c r="J431" s="5" t="n">
        <v>643.25</v>
      </c>
      <c r="K431" s="5" t="n">
        <v>8362.25</v>
      </c>
      <c r="L431" s="5" t="n">
        <v>5017.35</v>
      </c>
      <c r="M431" s="4" t="n">
        <v>3344.9</v>
      </c>
      <c r="N431" s="4" t="inlineStr">
        <is>
          <t>New</t>
        </is>
      </c>
      <c r="O431" s="4" t="inlineStr">
        <is>
          <t>Offline</t>
        </is>
      </c>
      <c r="P431" s="5" t="n">
        <v>10772.7</v>
      </c>
      <c r="Q431" s="5" t="n">
        <v>77.62</v>
      </c>
      <c r="R431" s="5" t="inlineStr"/>
    </row>
    <row r="432">
      <c r="A432" s="2" t="inlineStr">
        <is>
          <t>ORD-1431</t>
        </is>
      </c>
      <c r="B432" s="3" t="inlineStr">
        <is>
          <t>24-08-2024</t>
        </is>
      </c>
      <c r="C432" s="3" t="inlineStr">
        <is>
          <t>Aug-2024</t>
        </is>
      </c>
      <c r="D432" s="2" t="inlineStr">
        <is>
          <t>West</t>
        </is>
      </c>
      <c r="E432" s="2" t="inlineStr">
        <is>
          <t>Ahmedabad</t>
        </is>
      </c>
      <c r="F432" s="3" t="inlineStr">
        <is>
          <t>Rahul Sharma</t>
        </is>
      </c>
      <c r="G432" s="3" t="inlineStr">
        <is>
          <t>Electronics</t>
        </is>
      </c>
      <c r="H432" s="2" t="inlineStr">
        <is>
          <t>Smartphone</t>
        </is>
      </c>
      <c r="I432" s="2" t="n">
        <v>13</v>
      </c>
      <c r="J432" s="3" t="n">
        <v>812.96</v>
      </c>
      <c r="K432" s="3" t="n">
        <v>10568.48</v>
      </c>
      <c r="L432" s="3" t="n">
        <v>6341.09</v>
      </c>
      <c r="M432" s="2" t="n">
        <v>4227.39</v>
      </c>
      <c r="N432" s="2" t="inlineStr">
        <is>
          <t>Existing</t>
        </is>
      </c>
      <c r="O432" s="2" t="inlineStr">
        <is>
          <t>Offline</t>
        </is>
      </c>
      <c r="P432" s="3" t="n">
        <v>11692.85</v>
      </c>
      <c r="Q432" s="3" t="n">
        <v>90.38</v>
      </c>
      <c r="R432" s="3" t="inlineStr"/>
    </row>
    <row r="433">
      <c r="A433" s="4" t="inlineStr">
        <is>
          <t>ORD-1432</t>
        </is>
      </c>
      <c r="B433" s="5" t="inlineStr">
        <is>
          <t>25-08-2024</t>
        </is>
      </c>
      <c r="C433" s="5" t="inlineStr">
        <is>
          <t>Aug-2024</t>
        </is>
      </c>
      <c r="D433" s="4" t="inlineStr">
        <is>
          <t>South</t>
        </is>
      </c>
      <c r="E433" s="4" t="inlineStr">
        <is>
          <t>Hyderabad</t>
        </is>
      </c>
      <c r="F433" s="5" t="inlineStr">
        <is>
          <t>Vikram Singh</t>
        </is>
      </c>
      <c r="G433" s="5" t="inlineStr">
        <is>
          <t>Furniture</t>
        </is>
      </c>
      <c r="H433" s="4" t="inlineStr">
        <is>
          <t>Bookshelf</t>
        </is>
      </c>
      <c r="I433" s="4" t="n">
        <v>16</v>
      </c>
      <c r="J433" s="5" t="n">
        <v>218.34</v>
      </c>
      <c r="K433" s="5" t="n">
        <v>3493.44</v>
      </c>
      <c r="L433" s="5" t="n">
        <v>1921.39</v>
      </c>
      <c r="M433" s="4" t="n">
        <v>1572.05</v>
      </c>
      <c r="N433" s="4" t="inlineStr">
        <is>
          <t>Existing</t>
        </is>
      </c>
      <c r="O433" s="4" t="inlineStr">
        <is>
          <t>Offline</t>
        </is>
      </c>
      <c r="P433" s="5" t="n">
        <v>3116</v>
      </c>
      <c r="Q433" s="5" t="n">
        <v>112.11</v>
      </c>
      <c r="R433" s="5" t="inlineStr"/>
    </row>
    <row r="434">
      <c r="A434" s="2" t="inlineStr">
        <is>
          <t>ORD-1433</t>
        </is>
      </c>
      <c r="B434" s="3" t="inlineStr">
        <is>
          <t>26-08-2024</t>
        </is>
      </c>
      <c r="C434" s="3" t="inlineStr">
        <is>
          <t>Aug-2024</t>
        </is>
      </c>
      <c r="D434" s="2" t="inlineStr">
        <is>
          <t>South</t>
        </is>
      </c>
      <c r="E434" s="2" t="inlineStr">
        <is>
          <t>Bangalore</t>
        </is>
      </c>
      <c r="F434" s="3" t="inlineStr">
        <is>
          <t>Deepa Nair</t>
        </is>
      </c>
      <c r="G434" s="3" t="inlineStr">
        <is>
          <t>Apparel</t>
        </is>
      </c>
      <c r="H434" s="2" t="inlineStr">
        <is>
          <t>Trousers</t>
        </is>
      </c>
      <c r="I434" s="2" t="n">
        <v>9</v>
      </c>
      <c r="J434" s="3" t="n">
        <v>69.31</v>
      </c>
      <c r="K434" s="3" t="n">
        <v>623.79</v>
      </c>
      <c r="L434" s="3" t="n">
        <v>280.71</v>
      </c>
      <c r="M434" s="2" t="n">
        <v>343.08</v>
      </c>
      <c r="N434" s="2" t="inlineStr">
        <is>
          <t>New</t>
        </is>
      </c>
      <c r="O434" s="2" t="inlineStr">
        <is>
          <t>Online</t>
        </is>
      </c>
      <c r="P434" s="3" t="n">
        <v>752.97</v>
      </c>
      <c r="Q434" s="3" t="n">
        <v>82.84</v>
      </c>
      <c r="R434" s="3" t="inlineStr"/>
    </row>
    <row r="435">
      <c r="A435" s="4" t="inlineStr">
        <is>
          <t>ORD-1434</t>
        </is>
      </c>
      <c r="B435" s="5" t="inlineStr">
        <is>
          <t>26-08-2024</t>
        </is>
      </c>
      <c r="C435" s="5" t="inlineStr">
        <is>
          <t>Aug-2024</t>
        </is>
      </c>
      <c r="D435" s="4" t="inlineStr">
        <is>
          <t>East</t>
        </is>
      </c>
      <c r="E435" s="4" t="inlineStr">
        <is>
          <t>Kolkata</t>
        </is>
      </c>
      <c r="F435" s="5" t="inlineStr">
        <is>
          <t>Ravi Verma</t>
        </is>
      </c>
      <c r="G435" s="5" t="inlineStr">
        <is>
          <t>Software</t>
        </is>
      </c>
      <c r="H435" s="4" t="inlineStr">
        <is>
          <t>HR System</t>
        </is>
      </c>
      <c r="I435" s="4" t="n">
        <v>7</v>
      </c>
      <c r="J435" s="5" t="n">
        <v>1858.34</v>
      </c>
      <c r="K435" s="5" t="n">
        <v>13008.38</v>
      </c>
      <c r="L435" s="5" t="n">
        <v>3902.51</v>
      </c>
      <c r="M435" s="4" t="n">
        <v>9105.870000000001</v>
      </c>
      <c r="N435" s="4" t="inlineStr">
        <is>
          <t>New</t>
        </is>
      </c>
      <c r="O435" s="4" t="inlineStr">
        <is>
          <t>Offline</t>
        </is>
      </c>
      <c r="P435" s="5" t="n">
        <v>15646.92</v>
      </c>
      <c r="Q435" s="5" t="n">
        <v>83.14</v>
      </c>
      <c r="R435" s="5" t="inlineStr"/>
    </row>
    <row r="436">
      <c r="A436" s="2" t="inlineStr">
        <is>
          <t>ORD-1435</t>
        </is>
      </c>
      <c r="B436" s="3" t="inlineStr">
        <is>
          <t>27-08-2024</t>
        </is>
      </c>
      <c r="C436" s="3" t="inlineStr">
        <is>
          <t>Aug-2024</t>
        </is>
      </c>
      <c r="D436" s="2" t="inlineStr">
        <is>
          <t>West</t>
        </is>
      </c>
      <c r="E436" s="2" t="inlineStr">
        <is>
          <t>Ahmedabad</t>
        </is>
      </c>
      <c r="F436" s="3" t="inlineStr">
        <is>
          <t>Arjun Mehta</t>
        </is>
      </c>
      <c r="G436" s="3" t="inlineStr">
        <is>
          <t>Apparel</t>
        </is>
      </c>
      <c r="H436" s="2" t="inlineStr">
        <is>
          <t>Trousers</t>
        </is>
      </c>
      <c r="I436" s="2" t="n">
        <v>10</v>
      </c>
      <c r="J436" s="3" t="n">
        <v>66.51000000000001</v>
      </c>
      <c r="K436" s="3" t="n">
        <v>665.1</v>
      </c>
      <c r="L436" s="3" t="n">
        <v>299.3</v>
      </c>
      <c r="M436" s="2" t="n">
        <v>365.8</v>
      </c>
      <c r="N436" s="2" t="inlineStr">
        <is>
          <t>New</t>
        </is>
      </c>
      <c r="O436" s="2" t="inlineStr">
        <is>
          <t>Offline</t>
        </is>
      </c>
      <c r="P436" s="3" t="n">
        <v>564.99</v>
      </c>
      <c r="Q436" s="3" t="n">
        <v>117.72</v>
      </c>
      <c r="R436" s="3" t="inlineStr"/>
    </row>
    <row r="437">
      <c r="A437" s="4" t="inlineStr">
        <is>
          <t>ORD-1436</t>
        </is>
      </c>
      <c r="B437" s="5" t="inlineStr">
        <is>
          <t>28-08-2024</t>
        </is>
      </c>
      <c r="C437" s="5" t="inlineStr">
        <is>
          <t>Aug-2024</t>
        </is>
      </c>
      <c r="D437" s="4" t="inlineStr">
        <is>
          <t>North</t>
        </is>
      </c>
      <c r="E437" s="4" t="inlineStr">
        <is>
          <t>Delhi</t>
        </is>
      </c>
      <c r="F437" s="5" t="inlineStr">
        <is>
          <t>Vikram Singh</t>
        </is>
      </c>
      <c r="G437" s="5" t="inlineStr">
        <is>
          <t>Software</t>
        </is>
      </c>
      <c r="H437" s="4" t="inlineStr">
        <is>
          <t>ERP Suite</t>
        </is>
      </c>
      <c r="I437" s="4" t="n">
        <v>15</v>
      </c>
      <c r="J437" s="5" t="n">
        <v>5244.59</v>
      </c>
      <c r="K437" s="5" t="n">
        <v>78668.85000000001</v>
      </c>
      <c r="L437" s="5" t="n">
        <v>23600.66</v>
      </c>
      <c r="M437" s="4" t="n">
        <v>55068.19</v>
      </c>
      <c r="N437" s="4" t="inlineStr">
        <is>
          <t>Existing</t>
        </is>
      </c>
      <c r="O437" s="4" t="inlineStr">
        <is>
          <t>Offline</t>
        </is>
      </c>
      <c r="P437" s="5" t="n">
        <v>77107.53</v>
      </c>
      <c r="Q437" s="5" t="n">
        <v>102.02</v>
      </c>
      <c r="R437" s="5" t="inlineStr"/>
    </row>
    <row r="438">
      <c r="A438" s="2" t="inlineStr">
        <is>
          <t>ORD-1437</t>
        </is>
      </c>
      <c r="B438" s="3" t="inlineStr">
        <is>
          <t>29-08-2024</t>
        </is>
      </c>
      <c r="C438" s="3" t="inlineStr">
        <is>
          <t>Aug-2024</t>
        </is>
      </c>
      <c r="D438" s="2" t="inlineStr">
        <is>
          <t>East</t>
        </is>
      </c>
      <c r="E438" s="2" t="inlineStr">
        <is>
          <t>Bhubaneswar</t>
        </is>
      </c>
      <c r="F438" s="3" t="inlineStr">
        <is>
          <t>Rahul Sharma</t>
        </is>
      </c>
      <c r="G438" s="3" t="inlineStr">
        <is>
          <t>Software</t>
        </is>
      </c>
      <c r="H438" s="2" t="inlineStr">
        <is>
          <t>ERP Suite</t>
        </is>
      </c>
      <c r="I438" s="2" t="n">
        <v>12</v>
      </c>
      <c r="J438" s="3" t="n">
        <v>5367.37</v>
      </c>
      <c r="K438" s="3" t="n">
        <v>64408.44</v>
      </c>
      <c r="L438" s="3" t="n">
        <v>19322.53</v>
      </c>
      <c r="M438" s="2" t="n">
        <v>45085.91</v>
      </c>
      <c r="N438" s="2" t="inlineStr">
        <is>
          <t>New</t>
        </is>
      </c>
      <c r="O438" s="2" t="inlineStr">
        <is>
          <t>Online</t>
        </is>
      </c>
      <c r="P438" s="3" t="n">
        <v>83066.7</v>
      </c>
      <c r="Q438" s="3" t="n">
        <v>77.54000000000001</v>
      </c>
      <c r="R438" s="3" t="inlineStr"/>
    </row>
    <row r="439">
      <c r="A439" s="4" t="inlineStr">
        <is>
          <t>ORD-1438</t>
        </is>
      </c>
      <c r="B439" s="5" t="inlineStr">
        <is>
          <t>29-08-2024</t>
        </is>
      </c>
      <c r="C439" s="5" t="inlineStr">
        <is>
          <t>Aug-2024</t>
        </is>
      </c>
      <c r="D439" s="4" t="inlineStr">
        <is>
          <t>East</t>
        </is>
      </c>
      <c r="E439" s="4" t="inlineStr">
        <is>
          <t>Bhubaneswar</t>
        </is>
      </c>
      <c r="F439" s="5" t="inlineStr">
        <is>
          <t>Deepa Nair</t>
        </is>
      </c>
      <c r="G439" s="5" t="inlineStr">
        <is>
          <t>Software</t>
        </is>
      </c>
      <c r="H439" s="4" t="inlineStr">
        <is>
          <t>HR System</t>
        </is>
      </c>
      <c r="I439" s="4" t="n">
        <v>3</v>
      </c>
      <c r="J439" s="5" t="n">
        <v>1952.43</v>
      </c>
      <c r="K439" s="5" t="n">
        <v>5857.29</v>
      </c>
      <c r="L439" s="5" t="n">
        <v>1757.19</v>
      </c>
      <c r="M439" s="4" t="n">
        <v>4100.1</v>
      </c>
      <c r="N439" s="4" t="inlineStr">
        <is>
          <t>Existing</t>
        </is>
      </c>
      <c r="O439" s="4" t="inlineStr">
        <is>
          <t>Offline</t>
        </is>
      </c>
      <c r="P439" s="5" t="n">
        <v>6535.89</v>
      </c>
      <c r="Q439" s="5" t="n">
        <v>89.62</v>
      </c>
      <c r="R439" s="5" t="inlineStr"/>
    </row>
    <row r="440">
      <c r="A440" s="2" t="inlineStr">
        <is>
          <t>ORD-1439</t>
        </is>
      </c>
      <c r="B440" s="3" t="inlineStr">
        <is>
          <t>29-08-2024</t>
        </is>
      </c>
      <c r="C440" s="3" t="inlineStr">
        <is>
          <t>Aug-2024</t>
        </is>
      </c>
      <c r="D440" s="2" t="inlineStr">
        <is>
          <t>South</t>
        </is>
      </c>
      <c r="E440" s="2" t="inlineStr">
        <is>
          <t>Chennai</t>
        </is>
      </c>
      <c r="F440" s="3" t="inlineStr">
        <is>
          <t>Deepa Nair</t>
        </is>
      </c>
      <c r="G440" s="3" t="inlineStr">
        <is>
          <t>Software</t>
        </is>
      </c>
      <c r="H440" s="2" t="inlineStr">
        <is>
          <t>HR System</t>
        </is>
      </c>
      <c r="I440" s="2" t="n">
        <v>3</v>
      </c>
      <c r="J440" s="3" t="n">
        <v>1831.64</v>
      </c>
      <c r="K440" s="3" t="n">
        <v>5494.92</v>
      </c>
      <c r="L440" s="3" t="n">
        <v>1648.48</v>
      </c>
      <c r="M440" s="2" t="n">
        <v>3846.44</v>
      </c>
      <c r="N440" s="2" t="inlineStr">
        <is>
          <t>Existing</t>
        </is>
      </c>
      <c r="O440" s="2" t="inlineStr">
        <is>
          <t>Online</t>
        </is>
      </c>
      <c r="P440" s="3" t="n">
        <v>5257.22</v>
      </c>
      <c r="Q440" s="3" t="n">
        <v>104.52</v>
      </c>
      <c r="R440" s="3" t="inlineStr"/>
    </row>
    <row r="441">
      <c r="A441" s="4" t="inlineStr">
        <is>
          <t>ORD-1440</t>
        </is>
      </c>
      <c r="B441" s="5" t="inlineStr">
        <is>
          <t>30-08-2024</t>
        </is>
      </c>
      <c r="C441" s="5" t="inlineStr">
        <is>
          <t>Aug-2024</t>
        </is>
      </c>
      <c r="D441" s="4" t="inlineStr">
        <is>
          <t>East</t>
        </is>
      </c>
      <c r="E441" s="4" t="inlineStr">
        <is>
          <t>Patna</t>
        </is>
      </c>
      <c r="F441" s="5" t="inlineStr">
        <is>
          <t>Vikram Singh</t>
        </is>
      </c>
      <c r="G441" s="5" t="inlineStr">
        <is>
          <t>Software</t>
        </is>
      </c>
      <c r="H441" s="4" t="inlineStr">
        <is>
          <t>Analytics Pro</t>
        </is>
      </c>
      <c r="I441" s="4" t="n">
        <v>15</v>
      </c>
      <c r="J441" s="5" t="n">
        <v>2640.49</v>
      </c>
      <c r="K441" s="5" t="n">
        <v>39607.35</v>
      </c>
      <c r="L441" s="5" t="n">
        <v>11882.2</v>
      </c>
      <c r="M441" s="4" t="n">
        <v>27725.15</v>
      </c>
      <c r="N441" s="4" t="inlineStr">
        <is>
          <t>Existing</t>
        </is>
      </c>
      <c r="O441" s="4" t="inlineStr">
        <is>
          <t>Offline</t>
        </is>
      </c>
      <c r="P441" s="5" t="n">
        <v>39884.38</v>
      </c>
      <c r="Q441" s="5" t="n">
        <v>99.31</v>
      </c>
      <c r="R441" s="5" t="inlineStr"/>
    </row>
    <row r="442">
      <c r="A442" s="2" t="inlineStr">
        <is>
          <t>ORD-1441</t>
        </is>
      </c>
      <c r="B442" s="3" t="inlineStr">
        <is>
          <t>30-08-2024</t>
        </is>
      </c>
      <c r="C442" s="3" t="inlineStr">
        <is>
          <t>Aug-2024</t>
        </is>
      </c>
      <c r="D442" s="2" t="inlineStr">
        <is>
          <t>South</t>
        </is>
      </c>
      <c r="E442" s="2" t="inlineStr">
        <is>
          <t>Chennai</t>
        </is>
      </c>
      <c r="F442" s="3" t="inlineStr">
        <is>
          <t>Arjun Mehta</t>
        </is>
      </c>
      <c r="G442" s="3" t="inlineStr">
        <is>
          <t>Furniture</t>
        </is>
      </c>
      <c r="H442" s="2" t="inlineStr">
        <is>
          <t>Bookshelf</t>
        </is>
      </c>
      <c r="I442" s="2" t="n">
        <v>3</v>
      </c>
      <c r="J442" s="3" t="n">
        <v>188.42</v>
      </c>
      <c r="K442" s="3" t="n">
        <v>565.26</v>
      </c>
      <c r="L442" s="3" t="n">
        <v>310.89</v>
      </c>
      <c r="M442" s="2" t="n">
        <v>254.37</v>
      </c>
      <c r="N442" s="2" t="inlineStr">
        <is>
          <t>Existing</t>
        </is>
      </c>
      <c r="O442" s="2" t="inlineStr">
        <is>
          <t>Online</t>
        </is>
      </c>
      <c r="P442" s="3" t="n">
        <v>479.21</v>
      </c>
      <c r="Q442" s="3" t="n">
        <v>117.96</v>
      </c>
      <c r="R442" s="3" t="inlineStr"/>
    </row>
    <row r="443">
      <c r="A443" s="4" t="inlineStr">
        <is>
          <t>ORD-1442</t>
        </is>
      </c>
      <c r="B443" s="5" t="inlineStr">
        <is>
          <t>30-08-2024</t>
        </is>
      </c>
      <c r="C443" s="5" t="inlineStr">
        <is>
          <t>Aug-2024</t>
        </is>
      </c>
      <c r="D443" s="4" t="inlineStr">
        <is>
          <t>West</t>
        </is>
      </c>
      <c r="E443" s="4" t="inlineStr">
        <is>
          <t>Pune</t>
        </is>
      </c>
      <c r="F443" s="5" t="inlineStr">
        <is>
          <t>Rahul Sharma</t>
        </is>
      </c>
      <c r="G443" s="5" t="inlineStr">
        <is>
          <t>Electronics</t>
        </is>
      </c>
      <c r="H443" s="4" t="inlineStr">
        <is>
          <t>Smartwatch</t>
        </is>
      </c>
      <c r="I443" s="4" t="n">
        <v>17</v>
      </c>
      <c r="J443" s="5" t="n">
        <v>315.9</v>
      </c>
      <c r="K443" s="5" t="n">
        <v>5370.3</v>
      </c>
      <c r="L443" s="5" t="n">
        <v>3222.18</v>
      </c>
      <c r="M443" s="4" t="n">
        <v>2148.12</v>
      </c>
      <c r="N443" s="4" t="inlineStr">
        <is>
          <t>New</t>
        </is>
      </c>
      <c r="O443" s="4" t="inlineStr">
        <is>
          <t>Online</t>
        </is>
      </c>
      <c r="P443" s="5" t="n">
        <v>5000.96</v>
      </c>
      <c r="Q443" s="5" t="n">
        <v>107.39</v>
      </c>
      <c r="R443" s="5" t="inlineStr"/>
    </row>
    <row r="444">
      <c r="A444" s="2" t="inlineStr">
        <is>
          <t>ORD-1443</t>
        </is>
      </c>
      <c r="B444" s="3" t="inlineStr">
        <is>
          <t>31-08-2024</t>
        </is>
      </c>
      <c r="C444" s="3" t="inlineStr">
        <is>
          <t>Aug-2024</t>
        </is>
      </c>
      <c r="D444" s="2" t="inlineStr">
        <is>
          <t>North</t>
        </is>
      </c>
      <c r="E444" s="2" t="inlineStr">
        <is>
          <t>Lucknow</t>
        </is>
      </c>
      <c r="F444" s="3" t="inlineStr">
        <is>
          <t>Amit Kumar</t>
        </is>
      </c>
      <c r="G444" s="3" t="inlineStr">
        <is>
          <t>Apparel</t>
        </is>
      </c>
      <c r="H444" s="2" t="inlineStr">
        <is>
          <t>Formal Shirt</t>
        </is>
      </c>
      <c r="I444" s="2" t="n">
        <v>8</v>
      </c>
      <c r="J444" s="3" t="n">
        <v>83.8</v>
      </c>
      <c r="K444" s="3" t="n">
        <v>670.4</v>
      </c>
      <c r="L444" s="3" t="n">
        <v>301.68</v>
      </c>
      <c r="M444" s="2" t="n">
        <v>368.72</v>
      </c>
      <c r="N444" s="2" t="inlineStr">
        <is>
          <t>Existing</t>
        </is>
      </c>
      <c r="O444" s="2" t="inlineStr">
        <is>
          <t>Online</t>
        </is>
      </c>
      <c r="P444" s="3" t="n">
        <v>580.3200000000001</v>
      </c>
      <c r="Q444" s="3" t="n">
        <v>115.52</v>
      </c>
      <c r="R444" s="3" t="inlineStr"/>
    </row>
    <row r="445">
      <c r="A445" s="4" t="inlineStr">
        <is>
          <t>ORD-1444</t>
        </is>
      </c>
      <c r="B445" s="5" t="inlineStr">
        <is>
          <t>02-09-2024</t>
        </is>
      </c>
      <c r="C445" s="5" t="inlineStr">
        <is>
          <t>Sep-2024</t>
        </is>
      </c>
      <c r="D445" s="4" t="inlineStr">
        <is>
          <t>North</t>
        </is>
      </c>
      <c r="E445" s="4" t="inlineStr">
        <is>
          <t>Lucknow</t>
        </is>
      </c>
      <c r="F445" s="5" t="inlineStr">
        <is>
          <t>Deepa Nair</t>
        </is>
      </c>
      <c r="G445" s="5" t="inlineStr">
        <is>
          <t>Apparel</t>
        </is>
      </c>
      <c r="H445" s="4" t="inlineStr">
        <is>
          <t>Trousers</t>
        </is>
      </c>
      <c r="I445" s="4" t="n">
        <v>15</v>
      </c>
      <c r="J445" s="5" t="n">
        <v>76.65000000000001</v>
      </c>
      <c r="K445" s="5" t="n">
        <v>1149.75</v>
      </c>
      <c r="L445" s="5" t="n">
        <v>517.39</v>
      </c>
      <c r="M445" s="4" t="n">
        <v>632.36</v>
      </c>
      <c r="N445" s="4" t="inlineStr">
        <is>
          <t>Existing</t>
        </is>
      </c>
      <c r="O445" s="4" t="inlineStr">
        <is>
          <t>Offline</t>
        </is>
      </c>
      <c r="P445" s="5" t="n">
        <v>997.47</v>
      </c>
      <c r="Q445" s="5" t="n">
        <v>115.27</v>
      </c>
      <c r="R445" s="5" t="inlineStr"/>
    </row>
    <row r="446">
      <c r="A446" s="2" t="inlineStr">
        <is>
          <t>ORD-1445</t>
        </is>
      </c>
      <c r="B446" s="3" t="inlineStr">
        <is>
          <t>03-09-2024</t>
        </is>
      </c>
      <c r="C446" s="3" t="inlineStr">
        <is>
          <t>Sep-2024</t>
        </is>
      </c>
      <c r="D446" s="2" t="inlineStr">
        <is>
          <t>South</t>
        </is>
      </c>
      <c r="E446" s="2" t="inlineStr">
        <is>
          <t>Hyderabad</t>
        </is>
      </c>
      <c r="F446" s="3" t="inlineStr">
        <is>
          <t>Kavita Rao</t>
        </is>
      </c>
      <c r="G446" s="3" t="inlineStr">
        <is>
          <t>Software</t>
        </is>
      </c>
      <c r="H446" s="2" t="inlineStr">
        <is>
          <t>HR System</t>
        </is>
      </c>
      <c r="I446" s="2" t="n">
        <v>17</v>
      </c>
      <c r="J446" s="3" t="n">
        <v>2055.91</v>
      </c>
      <c r="K446" s="3" t="n">
        <v>34950.47</v>
      </c>
      <c r="L446" s="3" t="n">
        <v>10485.14</v>
      </c>
      <c r="M446" s="2" t="n">
        <v>24465.33</v>
      </c>
      <c r="N446" s="2" t="inlineStr">
        <is>
          <t>Existing</t>
        </is>
      </c>
      <c r="O446" s="2" t="inlineStr">
        <is>
          <t>Offline</t>
        </is>
      </c>
      <c r="P446" s="3" t="n">
        <v>36377.35</v>
      </c>
      <c r="Q446" s="3" t="n">
        <v>96.08</v>
      </c>
      <c r="R446" s="3" t="inlineStr"/>
    </row>
    <row r="447">
      <c r="A447" s="4" t="inlineStr">
        <is>
          <t>ORD-1446</t>
        </is>
      </c>
      <c r="B447" s="5" t="inlineStr">
        <is>
          <t>03-09-2024</t>
        </is>
      </c>
      <c r="C447" s="5" t="inlineStr">
        <is>
          <t>Sep-2024</t>
        </is>
      </c>
      <c r="D447" s="4" t="inlineStr">
        <is>
          <t>South</t>
        </is>
      </c>
      <c r="E447" s="4" t="inlineStr">
        <is>
          <t>Chennai</t>
        </is>
      </c>
      <c r="F447" s="5" t="inlineStr">
        <is>
          <t>Pooja Joshi</t>
        </is>
      </c>
      <c r="G447" s="5" t="inlineStr">
        <is>
          <t>Apparel</t>
        </is>
      </c>
      <c r="H447" s="4" t="inlineStr">
        <is>
          <t>T-Shirt</t>
        </is>
      </c>
      <c r="I447" s="4" t="n">
        <v>14</v>
      </c>
      <c r="J447" s="5" t="n">
        <v>38.08</v>
      </c>
      <c r="K447" s="5" t="n">
        <v>533.12</v>
      </c>
      <c r="L447" s="5" t="n">
        <v>239.9</v>
      </c>
      <c r="M447" s="4" t="n">
        <v>293.22</v>
      </c>
      <c r="N447" s="4" t="inlineStr">
        <is>
          <t>Existing</t>
        </is>
      </c>
      <c r="O447" s="4" t="inlineStr">
        <is>
          <t>Online</t>
        </is>
      </c>
      <c r="P447" s="5" t="n">
        <v>426.52</v>
      </c>
      <c r="Q447" s="5" t="n">
        <v>124.99</v>
      </c>
      <c r="R447" s="5" t="inlineStr"/>
    </row>
    <row r="448">
      <c r="A448" s="2" t="inlineStr">
        <is>
          <t>ORD-1447</t>
        </is>
      </c>
      <c r="B448" s="3" t="inlineStr">
        <is>
          <t>03-09-2024</t>
        </is>
      </c>
      <c r="C448" s="3" t="inlineStr">
        <is>
          <t>Sep-2024</t>
        </is>
      </c>
      <c r="D448" s="2" t="inlineStr">
        <is>
          <t>South</t>
        </is>
      </c>
      <c r="E448" s="2" t="inlineStr">
        <is>
          <t>Bangalore</t>
        </is>
      </c>
      <c r="F448" s="3" t="inlineStr">
        <is>
          <t>Vikram Singh</t>
        </is>
      </c>
      <c r="G448" s="3" t="inlineStr">
        <is>
          <t>Software</t>
        </is>
      </c>
      <c r="H448" s="2" t="inlineStr">
        <is>
          <t>ERP Suite</t>
        </is>
      </c>
      <c r="I448" s="2" t="n">
        <v>16</v>
      </c>
      <c r="J448" s="3" t="n">
        <v>5446.96</v>
      </c>
      <c r="K448" s="3" t="n">
        <v>87151.36</v>
      </c>
      <c r="L448" s="3" t="n">
        <v>26145.41</v>
      </c>
      <c r="M448" s="2" t="n">
        <v>61005.95</v>
      </c>
      <c r="N448" s="2" t="inlineStr">
        <is>
          <t>Existing</t>
        </is>
      </c>
      <c r="O448" s="2" t="inlineStr">
        <is>
          <t>Offline</t>
        </is>
      </c>
      <c r="P448" s="3" t="n">
        <v>70119.05</v>
      </c>
      <c r="Q448" s="3" t="n">
        <v>124.29</v>
      </c>
      <c r="R448" s="3" t="inlineStr"/>
    </row>
    <row r="449">
      <c r="A449" s="4" t="inlineStr">
        <is>
          <t>ORD-1448</t>
        </is>
      </c>
      <c r="B449" s="5" t="inlineStr">
        <is>
          <t>04-09-2024</t>
        </is>
      </c>
      <c r="C449" s="5" t="inlineStr">
        <is>
          <t>Sep-2024</t>
        </is>
      </c>
      <c r="D449" s="4" t="inlineStr">
        <is>
          <t>East</t>
        </is>
      </c>
      <c r="E449" s="4" t="inlineStr">
        <is>
          <t>Patna</t>
        </is>
      </c>
      <c r="F449" s="5" t="inlineStr">
        <is>
          <t>Sneha Reddy</t>
        </is>
      </c>
      <c r="G449" s="5" t="inlineStr">
        <is>
          <t>Electronics</t>
        </is>
      </c>
      <c r="H449" s="4" t="inlineStr">
        <is>
          <t>Tablet</t>
        </is>
      </c>
      <c r="I449" s="4" t="n">
        <v>7</v>
      </c>
      <c r="J449" s="5" t="n">
        <v>589.41</v>
      </c>
      <c r="K449" s="5" t="n">
        <v>4125.87</v>
      </c>
      <c r="L449" s="5" t="n">
        <v>2475.52</v>
      </c>
      <c r="M449" s="4" t="n">
        <v>1650.35</v>
      </c>
      <c r="N449" s="4" t="inlineStr">
        <is>
          <t>Existing</t>
        </is>
      </c>
      <c r="O449" s="4" t="inlineStr">
        <is>
          <t>Offline</t>
        </is>
      </c>
      <c r="P449" s="5" t="n">
        <v>3816.22</v>
      </c>
      <c r="Q449" s="5" t="n">
        <v>108.11</v>
      </c>
      <c r="R449" s="5" t="inlineStr"/>
    </row>
    <row r="450">
      <c r="A450" s="2" t="inlineStr">
        <is>
          <t>ORD-1449</t>
        </is>
      </c>
      <c r="B450" s="3" t="inlineStr">
        <is>
          <t>04-09-2024</t>
        </is>
      </c>
      <c r="C450" s="3" t="inlineStr">
        <is>
          <t>Sep-2024</t>
        </is>
      </c>
      <c r="D450" s="2" t="inlineStr">
        <is>
          <t>West</t>
        </is>
      </c>
      <c r="E450" s="2" t="inlineStr">
        <is>
          <t>Ahmedabad</t>
        </is>
      </c>
      <c r="F450" s="3" t="inlineStr">
        <is>
          <t>Sneha Reddy</t>
        </is>
      </c>
      <c r="G450" s="3" t="inlineStr">
        <is>
          <t>Apparel</t>
        </is>
      </c>
      <c r="H450" s="2" t="inlineStr">
        <is>
          <t>Jacket</t>
        </is>
      </c>
      <c r="I450" s="2" t="n">
        <v>14</v>
      </c>
      <c r="J450" s="3" t="n">
        <v>123.01</v>
      </c>
      <c r="K450" s="3" t="n">
        <v>1722.14</v>
      </c>
      <c r="L450" s="3" t="n">
        <v>774.96</v>
      </c>
      <c r="M450" s="2" t="n">
        <v>947.1799999999999</v>
      </c>
      <c r="N450" s="2" t="inlineStr">
        <is>
          <t>Existing</t>
        </is>
      </c>
      <c r="O450" s="2" t="inlineStr">
        <is>
          <t>Offline</t>
        </is>
      </c>
      <c r="P450" s="3" t="n">
        <v>1936.08</v>
      </c>
      <c r="Q450" s="3" t="n">
        <v>88.95</v>
      </c>
      <c r="R450" s="3" t="inlineStr"/>
    </row>
    <row r="451">
      <c r="A451" s="4" t="inlineStr">
        <is>
          <t>ORD-1450</t>
        </is>
      </c>
      <c r="B451" s="5" t="inlineStr">
        <is>
          <t>05-09-2024</t>
        </is>
      </c>
      <c r="C451" s="5" t="inlineStr">
        <is>
          <t>Sep-2024</t>
        </is>
      </c>
      <c r="D451" s="4" t="inlineStr">
        <is>
          <t>East</t>
        </is>
      </c>
      <c r="E451" s="4" t="inlineStr">
        <is>
          <t>Bhubaneswar</t>
        </is>
      </c>
      <c r="F451" s="5" t="inlineStr">
        <is>
          <t>Sneha Reddy</t>
        </is>
      </c>
      <c r="G451" s="5" t="inlineStr">
        <is>
          <t>Electronics</t>
        </is>
      </c>
      <c r="H451" s="4" t="inlineStr">
        <is>
          <t>Smartphone</t>
        </is>
      </c>
      <c r="I451" s="4" t="n">
        <v>5</v>
      </c>
      <c r="J451" s="5" t="n">
        <v>766.34</v>
      </c>
      <c r="K451" s="5" t="n">
        <v>3831.7</v>
      </c>
      <c r="L451" s="5" t="n">
        <v>2299.02</v>
      </c>
      <c r="M451" s="4" t="n">
        <v>1532.68</v>
      </c>
      <c r="N451" s="4" t="inlineStr">
        <is>
          <t>Existing</t>
        </is>
      </c>
      <c r="O451" s="4" t="inlineStr">
        <is>
          <t>Offline</t>
        </is>
      </c>
      <c r="P451" s="5" t="n">
        <v>3586.73</v>
      </c>
      <c r="Q451" s="5" t="n">
        <v>106.83</v>
      </c>
      <c r="R451" s="5" t="inlineStr"/>
    </row>
    <row r="452">
      <c r="A452" s="2" t="inlineStr">
        <is>
          <t>ORD-1451</t>
        </is>
      </c>
      <c r="B452" s="3" t="inlineStr">
        <is>
          <t>05-09-2024</t>
        </is>
      </c>
      <c r="C452" s="3" t="inlineStr">
        <is>
          <t>Sep-2024</t>
        </is>
      </c>
      <c r="D452" s="2" t="inlineStr">
        <is>
          <t>West</t>
        </is>
      </c>
      <c r="E452" s="2" t="inlineStr">
        <is>
          <t>Mumbai</t>
        </is>
      </c>
      <c r="F452" s="3" t="inlineStr">
        <is>
          <t>Deepa Nair</t>
        </is>
      </c>
      <c r="G452" s="3" t="inlineStr">
        <is>
          <t>Electronics</t>
        </is>
      </c>
      <c r="H452" s="2" t="inlineStr">
        <is>
          <t>Smartphone</t>
        </is>
      </c>
      <c r="I452" s="2" t="n">
        <v>2</v>
      </c>
      <c r="J452" s="3" t="n">
        <v>875.15</v>
      </c>
      <c r="K452" s="3" t="n">
        <v>1750.3</v>
      </c>
      <c r="L452" s="3" t="n">
        <v>1050.18</v>
      </c>
      <c r="M452" s="2" t="n">
        <v>700.12</v>
      </c>
      <c r="N452" s="2" t="inlineStr">
        <is>
          <t>New</t>
        </is>
      </c>
      <c r="O452" s="2" t="inlineStr">
        <is>
          <t>Online</t>
        </is>
      </c>
      <c r="P452" s="3" t="n">
        <v>2251.18</v>
      </c>
      <c r="Q452" s="3" t="n">
        <v>77.75</v>
      </c>
      <c r="R452" s="3" t="inlineStr"/>
    </row>
    <row r="453">
      <c r="A453" s="4" t="inlineStr">
        <is>
          <t>ORD-1452</t>
        </is>
      </c>
      <c r="B453" s="5" t="inlineStr">
        <is>
          <t>05-09-2024</t>
        </is>
      </c>
      <c r="C453" s="5" t="inlineStr">
        <is>
          <t>Sep-2024</t>
        </is>
      </c>
      <c r="D453" s="4" t="inlineStr">
        <is>
          <t>East</t>
        </is>
      </c>
      <c r="E453" s="4" t="inlineStr">
        <is>
          <t>Bhubaneswar</t>
        </is>
      </c>
      <c r="F453" s="5" t="inlineStr">
        <is>
          <t>Arjun Mehta</t>
        </is>
      </c>
      <c r="G453" s="5" t="inlineStr">
        <is>
          <t>Software</t>
        </is>
      </c>
      <c r="H453" s="4" t="inlineStr">
        <is>
          <t>ERP Suite</t>
        </is>
      </c>
      <c r="I453" s="4" t="n">
        <v>8</v>
      </c>
      <c r="J453" s="5" t="n">
        <v>4590.2</v>
      </c>
      <c r="K453" s="5" t="n">
        <v>36721.6</v>
      </c>
      <c r="L453" s="5" t="n">
        <v>11016.48</v>
      </c>
      <c r="M453" s="4" t="n">
        <v>25705.12</v>
      </c>
      <c r="N453" s="4" t="inlineStr">
        <is>
          <t>New</t>
        </is>
      </c>
      <c r="O453" s="4" t="inlineStr">
        <is>
          <t>Offline</t>
        </is>
      </c>
      <c r="P453" s="5" t="n">
        <v>33365.03</v>
      </c>
      <c r="Q453" s="5" t="n">
        <v>110.06</v>
      </c>
      <c r="R453" s="5" t="inlineStr"/>
    </row>
    <row r="454">
      <c r="A454" s="2" t="inlineStr">
        <is>
          <t>ORD-1453</t>
        </is>
      </c>
      <c r="B454" s="3" t="inlineStr">
        <is>
          <t>06-09-2024</t>
        </is>
      </c>
      <c r="C454" s="3" t="inlineStr">
        <is>
          <t>Sep-2024</t>
        </is>
      </c>
      <c r="D454" s="2" t="inlineStr">
        <is>
          <t>East</t>
        </is>
      </c>
      <c r="E454" s="2" t="inlineStr">
        <is>
          <t>Bhubaneswar</t>
        </is>
      </c>
      <c r="F454" s="3" t="inlineStr">
        <is>
          <t>Deepa Nair</t>
        </is>
      </c>
      <c r="G454" s="3" t="inlineStr">
        <is>
          <t>Software</t>
        </is>
      </c>
      <c r="H454" s="2" t="inlineStr">
        <is>
          <t>ERP Suite</t>
        </is>
      </c>
      <c r="I454" s="2" t="n">
        <v>11</v>
      </c>
      <c r="J454" s="3" t="n">
        <v>4580.22</v>
      </c>
      <c r="K454" s="3" t="n">
        <v>50382.42</v>
      </c>
      <c r="L454" s="3" t="n">
        <v>15114.73</v>
      </c>
      <c r="M454" s="2" t="n">
        <v>35267.69</v>
      </c>
      <c r="N454" s="2" t="inlineStr">
        <is>
          <t>New</t>
        </is>
      </c>
      <c r="O454" s="2" t="inlineStr">
        <is>
          <t>Online</t>
        </is>
      </c>
      <c r="P454" s="3" t="n">
        <v>47019.48</v>
      </c>
      <c r="Q454" s="3" t="n">
        <v>107.15</v>
      </c>
      <c r="R454" s="3" t="inlineStr"/>
    </row>
    <row r="455">
      <c r="A455" s="4" t="inlineStr">
        <is>
          <t>ORD-1454</t>
        </is>
      </c>
      <c r="B455" s="5" t="inlineStr">
        <is>
          <t>06-09-2024</t>
        </is>
      </c>
      <c r="C455" s="5" t="inlineStr">
        <is>
          <t>Sep-2024</t>
        </is>
      </c>
      <c r="D455" s="4" t="inlineStr">
        <is>
          <t>West</t>
        </is>
      </c>
      <c r="E455" s="4" t="inlineStr">
        <is>
          <t>Mumbai</t>
        </is>
      </c>
      <c r="F455" s="5" t="inlineStr">
        <is>
          <t>Ravi Verma</t>
        </is>
      </c>
      <c r="G455" s="5" t="inlineStr">
        <is>
          <t>Software</t>
        </is>
      </c>
      <c r="H455" s="4" t="inlineStr">
        <is>
          <t>CRM Tool</t>
        </is>
      </c>
      <c r="I455" s="4" t="n">
        <v>7</v>
      </c>
      <c r="J455" s="5" t="n">
        <v>3237.42</v>
      </c>
      <c r="K455" s="5" t="n">
        <v>22661.94</v>
      </c>
      <c r="L455" s="5" t="n">
        <v>6798.58</v>
      </c>
      <c r="M455" s="4" t="n">
        <v>15863.36</v>
      </c>
      <c r="N455" s="4" t="inlineStr">
        <is>
          <t>Existing</t>
        </is>
      </c>
      <c r="O455" s="4" t="inlineStr">
        <is>
          <t>Offline</t>
        </is>
      </c>
      <c r="P455" s="5" t="n">
        <v>27514.45</v>
      </c>
      <c r="Q455" s="5" t="n">
        <v>82.36</v>
      </c>
      <c r="R455" s="5" t="inlineStr"/>
    </row>
    <row r="456">
      <c r="A456" s="2" t="inlineStr">
        <is>
          <t>ORD-1455</t>
        </is>
      </c>
      <c r="B456" s="3" t="inlineStr">
        <is>
          <t>07-09-2024</t>
        </is>
      </c>
      <c r="C456" s="3" t="inlineStr">
        <is>
          <t>Sep-2024</t>
        </is>
      </c>
      <c r="D456" s="2" t="inlineStr">
        <is>
          <t>South</t>
        </is>
      </c>
      <c r="E456" s="2" t="inlineStr">
        <is>
          <t>Bangalore</t>
        </is>
      </c>
      <c r="F456" s="3" t="inlineStr">
        <is>
          <t>Pooja Joshi</t>
        </is>
      </c>
      <c r="G456" s="3" t="inlineStr">
        <is>
          <t>Furniture</t>
        </is>
      </c>
      <c r="H456" s="2" t="inlineStr">
        <is>
          <t>Office Chair</t>
        </is>
      </c>
      <c r="I456" s="2" t="n">
        <v>7</v>
      </c>
      <c r="J456" s="3" t="n">
        <v>347.26</v>
      </c>
      <c r="K456" s="3" t="n">
        <v>2430.82</v>
      </c>
      <c r="L456" s="3" t="n">
        <v>1336.95</v>
      </c>
      <c r="M456" s="2" t="n">
        <v>1093.87</v>
      </c>
      <c r="N456" s="2" t="inlineStr">
        <is>
          <t>New</t>
        </is>
      </c>
      <c r="O456" s="2" t="inlineStr">
        <is>
          <t>Online</t>
        </is>
      </c>
      <c r="P456" s="3" t="n">
        <v>2519.33</v>
      </c>
      <c r="Q456" s="3" t="n">
        <v>96.48999999999999</v>
      </c>
      <c r="R456" s="3" t="inlineStr"/>
    </row>
    <row r="457">
      <c r="A457" s="4" t="inlineStr">
        <is>
          <t>ORD-1456</t>
        </is>
      </c>
      <c r="B457" s="5" t="inlineStr">
        <is>
          <t>08-09-2024</t>
        </is>
      </c>
      <c r="C457" s="5" t="inlineStr">
        <is>
          <t>Sep-2024</t>
        </is>
      </c>
      <c r="D457" s="4" t="inlineStr">
        <is>
          <t>East</t>
        </is>
      </c>
      <c r="E457" s="4" t="inlineStr">
        <is>
          <t>Kolkata</t>
        </is>
      </c>
      <c r="F457" s="5" t="inlineStr">
        <is>
          <t>Rahul Sharma</t>
        </is>
      </c>
      <c r="G457" s="5" t="inlineStr">
        <is>
          <t>Electronics</t>
        </is>
      </c>
      <c r="H457" s="4" t="inlineStr">
        <is>
          <t>Tablet</t>
        </is>
      </c>
      <c r="I457" s="4" t="n">
        <v>16</v>
      </c>
      <c r="J457" s="5" t="n">
        <v>616.62</v>
      </c>
      <c r="K457" s="5" t="n">
        <v>9865.92</v>
      </c>
      <c r="L457" s="5" t="n">
        <v>5919.55</v>
      </c>
      <c r="M457" s="4" t="n">
        <v>3946.37</v>
      </c>
      <c r="N457" s="4" t="inlineStr">
        <is>
          <t>New</t>
        </is>
      </c>
      <c r="O457" s="4" t="inlineStr">
        <is>
          <t>Offline</t>
        </is>
      </c>
      <c r="P457" s="5" t="n">
        <v>12270.83</v>
      </c>
      <c r="Q457" s="5" t="n">
        <v>80.40000000000001</v>
      </c>
      <c r="R457" s="5" t="inlineStr"/>
    </row>
    <row r="458">
      <c r="A458" s="2" t="inlineStr">
        <is>
          <t>ORD-1457</t>
        </is>
      </c>
      <c r="B458" s="3" t="inlineStr">
        <is>
          <t>09-09-2024</t>
        </is>
      </c>
      <c r="C458" s="3" t="inlineStr">
        <is>
          <t>Sep-2024</t>
        </is>
      </c>
      <c r="D458" s="2" t="inlineStr">
        <is>
          <t>South</t>
        </is>
      </c>
      <c r="E458" s="2" t="inlineStr">
        <is>
          <t>Chennai</t>
        </is>
      </c>
      <c r="F458" s="3" t="inlineStr">
        <is>
          <t>Sneha Reddy</t>
        </is>
      </c>
      <c r="G458" s="3" t="inlineStr">
        <is>
          <t>Software</t>
        </is>
      </c>
      <c r="H458" s="2" t="inlineStr">
        <is>
          <t>Analytics Pro</t>
        </is>
      </c>
      <c r="I458" s="2" t="n">
        <v>1</v>
      </c>
      <c r="J458" s="3" t="n">
        <v>2333.68</v>
      </c>
      <c r="K458" s="3" t="n">
        <v>2333.68</v>
      </c>
      <c r="L458" s="3" t="n">
        <v>700.1</v>
      </c>
      <c r="M458" s="2" t="n">
        <v>1633.58</v>
      </c>
      <c r="N458" s="2" t="inlineStr">
        <is>
          <t>Existing</t>
        </is>
      </c>
      <c r="O458" s="2" t="inlineStr">
        <is>
          <t>Online</t>
        </is>
      </c>
      <c r="P458" s="3" t="n">
        <v>2328.79</v>
      </c>
      <c r="Q458" s="3" t="n">
        <v>100.21</v>
      </c>
      <c r="R458" s="3" t="inlineStr"/>
    </row>
    <row r="459">
      <c r="A459" s="4" t="inlineStr">
        <is>
          <t>ORD-1458</t>
        </is>
      </c>
      <c r="B459" s="5" t="inlineStr">
        <is>
          <t>09-09-2024</t>
        </is>
      </c>
      <c r="C459" s="5" t="inlineStr">
        <is>
          <t>Sep-2024</t>
        </is>
      </c>
      <c r="D459" s="4" t="inlineStr">
        <is>
          <t>South</t>
        </is>
      </c>
      <c r="E459" s="4" t="inlineStr">
        <is>
          <t>Chennai</t>
        </is>
      </c>
      <c r="F459" s="5" t="inlineStr">
        <is>
          <t>Rahul Sharma</t>
        </is>
      </c>
      <c r="G459" s="5" t="inlineStr">
        <is>
          <t>Software</t>
        </is>
      </c>
      <c r="H459" s="4" t="inlineStr">
        <is>
          <t>CRM Tool</t>
        </is>
      </c>
      <c r="I459" s="4" t="n">
        <v>12</v>
      </c>
      <c r="J459" s="5" t="n">
        <v>3162.48</v>
      </c>
      <c r="K459" s="5" t="n">
        <v>37949.76</v>
      </c>
      <c r="L459" s="5" t="n">
        <v>11384.93</v>
      </c>
      <c r="M459" s="4" t="n">
        <v>26564.83</v>
      </c>
      <c r="N459" s="4" t="inlineStr">
        <is>
          <t>New</t>
        </is>
      </c>
      <c r="O459" s="4" t="inlineStr">
        <is>
          <t>Online</t>
        </is>
      </c>
      <c r="P459" s="5" t="n">
        <v>39845.71</v>
      </c>
      <c r="Q459" s="5" t="n">
        <v>95.23999999999999</v>
      </c>
      <c r="R459" s="5" t="inlineStr"/>
    </row>
    <row r="460">
      <c r="A460" s="2" t="inlineStr">
        <is>
          <t>ORD-1459</t>
        </is>
      </c>
      <c r="B460" s="3" t="inlineStr">
        <is>
          <t>09-09-2024</t>
        </is>
      </c>
      <c r="C460" s="3" t="inlineStr">
        <is>
          <t>Sep-2024</t>
        </is>
      </c>
      <c r="D460" s="2" t="inlineStr">
        <is>
          <t>East</t>
        </is>
      </c>
      <c r="E460" s="2" t="inlineStr">
        <is>
          <t>Patna</t>
        </is>
      </c>
      <c r="F460" s="3" t="inlineStr">
        <is>
          <t>Rahul Sharma</t>
        </is>
      </c>
      <c r="G460" s="3" t="inlineStr">
        <is>
          <t>Electronics</t>
        </is>
      </c>
      <c r="H460" s="2" t="inlineStr">
        <is>
          <t>Tablet</t>
        </is>
      </c>
      <c r="I460" s="2" t="n">
        <v>5</v>
      </c>
      <c r="J460" s="3" t="n">
        <v>624.16</v>
      </c>
      <c r="K460" s="3" t="n">
        <v>3120.8</v>
      </c>
      <c r="L460" s="3" t="n">
        <v>1872.48</v>
      </c>
      <c r="M460" s="2" t="n">
        <v>1248.32</v>
      </c>
      <c r="N460" s="2" t="inlineStr">
        <is>
          <t>New</t>
        </is>
      </c>
      <c r="O460" s="2" t="inlineStr">
        <is>
          <t>Online</t>
        </is>
      </c>
      <c r="P460" s="3" t="n">
        <v>3257.87</v>
      </c>
      <c r="Q460" s="3" t="n">
        <v>95.79000000000001</v>
      </c>
      <c r="R460" s="3" t="inlineStr"/>
    </row>
    <row r="461">
      <c r="A461" s="4" t="inlineStr">
        <is>
          <t>ORD-1460</t>
        </is>
      </c>
      <c r="B461" s="5" t="inlineStr">
        <is>
          <t>10-09-2024</t>
        </is>
      </c>
      <c r="C461" s="5" t="inlineStr">
        <is>
          <t>Sep-2024</t>
        </is>
      </c>
      <c r="D461" s="4" t="inlineStr">
        <is>
          <t>East</t>
        </is>
      </c>
      <c r="E461" s="4" t="inlineStr">
        <is>
          <t>Bhubaneswar</t>
        </is>
      </c>
      <c r="F461" s="5" t="inlineStr">
        <is>
          <t>Sneha Reddy</t>
        </is>
      </c>
      <c r="G461" s="5" t="inlineStr">
        <is>
          <t>Electronics</t>
        </is>
      </c>
      <c r="H461" s="4" t="inlineStr">
        <is>
          <t>Smartwatch</t>
        </is>
      </c>
      <c r="I461" s="4" t="n">
        <v>12</v>
      </c>
      <c r="J461" s="5" t="n">
        <v>313.46</v>
      </c>
      <c r="K461" s="5" t="n">
        <v>3761.52</v>
      </c>
      <c r="L461" s="5" t="n">
        <v>2256.91</v>
      </c>
      <c r="M461" s="4" t="n">
        <v>1504.61</v>
      </c>
      <c r="N461" s="4" t="inlineStr">
        <is>
          <t>Existing</t>
        </is>
      </c>
      <c r="O461" s="4" t="inlineStr">
        <is>
          <t>Online</t>
        </is>
      </c>
      <c r="P461" s="5" t="n">
        <v>3921.95</v>
      </c>
      <c r="Q461" s="5" t="n">
        <v>95.91</v>
      </c>
      <c r="R461" s="5" t="inlineStr"/>
    </row>
    <row r="462">
      <c r="A462" s="2" t="inlineStr">
        <is>
          <t>ORD-1461</t>
        </is>
      </c>
      <c r="B462" s="3" t="inlineStr">
        <is>
          <t>10-09-2024</t>
        </is>
      </c>
      <c r="C462" s="3" t="inlineStr">
        <is>
          <t>Sep-2024</t>
        </is>
      </c>
      <c r="D462" s="2" t="inlineStr">
        <is>
          <t>West</t>
        </is>
      </c>
      <c r="E462" s="2" t="inlineStr">
        <is>
          <t>Pune</t>
        </is>
      </c>
      <c r="F462" s="3" t="inlineStr">
        <is>
          <t>Vikram Singh</t>
        </is>
      </c>
      <c r="G462" s="3" t="inlineStr">
        <is>
          <t>Software</t>
        </is>
      </c>
      <c r="H462" s="2" t="inlineStr">
        <is>
          <t>CRM Tool</t>
        </is>
      </c>
      <c r="I462" s="2" t="n">
        <v>19</v>
      </c>
      <c r="J462" s="3" t="n">
        <v>2811.98</v>
      </c>
      <c r="K462" s="3" t="n">
        <v>53427.62</v>
      </c>
      <c r="L462" s="3" t="n">
        <v>16028.29</v>
      </c>
      <c r="M462" s="2" t="n">
        <v>37399.33</v>
      </c>
      <c r="N462" s="2" t="inlineStr">
        <is>
          <t>Existing</t>
        </is>
      </c>
      <c r="O462" s="2" t="inlineStr">
        <is>
          <t>Offline</t>
        </is>
      </c>
      <c r="P462" s="3" t="n">
        <v>62307.35</v>
      </c>
      <c r="Q462" s="3" t="n">
        <v>85.75</v>
      </c>
      <c r="R462" s="3" t="inlineStr"/>
    </row>
    <row r="463">
      <c r="A463" s="4" t="inlineStr">
        <is>
          <t>ORD-1462</t>
        </is>
      </c>
      <c r="B463" s="5" t="inlineStr">
        <is>
          <t>11-09-2024</t>
        </is>
      </c>
      <c r="C463" s="5" t="inlineStr">
        <is>
          <t>Sep-2024</t>
        </is>
      </c>
      <c r="D463" s="4" t="inlineStr">
        <is>
          <t>South</t>
        </is>
      </c>
      <c r="E463" s="4" t="inlineStr">
        <is>
          <t>Chennai</t>
        </is>
      </c>
      <c r="F463" s="5" t="inlineStr">
        <is>
          <t>Ravi Verma</t>
        </is>
      </c>
      <c r="G463" s="5" t="inlineStr">
        <is>
          <t>Furniture</t>
        </is>
      </c>
      <c r="H463" s="4" t="inlineStr">
        <is>
          <t>Cabinet</t>
        </is>
      </c>
      <c r="I463" s="4" t="n">
        <v>10</v>
      </c>
      <c r="J463" s="5" t="n">
        <v>319.17</v>
      </c>
      <c r="K463" s="5" t="n">
        <v>3191.7</v>
      </c>
      <c r="L463" s="5" t="n">
        <v>1755.43</v>
      </c>
      <c r="M463" s="4" t="n">
        <v>1436.27</v>
      </c>
      <c r="N463" s="4" t="inlineStr">
        <is>
          <t>Existing</t>
        </is>
      </c>
      <c r="O463" s="4" t="inlineStr">
        <is>
          <t>Offline</t>
        </is>
      </c>
      <c r="P463" s="5" t="n">
        <v>2554.51</v>
      </c>
      <c r="Q463" s="5" t="n">
        <v>124.94</v>
      </c>
      <c r="R463" s="5" t="inlineStr"/>
    </row>
    <row r="464">
      <c r="A464" s="2" t="inlineStr">
        <is>
          <t>ORD-1463</t>
        </is>
      </c>
      <c r="B464" s="3" t="inlineStr">
        <is>
          <t>11-09-2024</t>
        </is>
      </c>
      <c r="C464" s="3" t="inlineStr">
        <is>
          <t>Sep-2024</t>
        </is>
      </c>
      <c r="D464" s="2" t="inlineStr">
        <is>
          <t>West</t>
        </is>
      </c>
      <c r="E464" s="2" t="inlineStr">
        <is>
          <t>Pune</t>
        </is>
      </c>
      <c r="F464" s="3" t="inlineStr">
        <is>
          <t>Arjun Mehta</t>
        </is>
      </c>
      <c r="G464" s="3" t="inlineStr">
        <is>
          <t>Electronics</t>
        </is>
      </c>
      <c r="H464" s="2" t="inlineStr">
        <is>
          <t>Tablet</t>
        </is>
      </c>
      <c r="I464" s="2" t="n">
        <v>20</v>
      </c>
      <c r="J464" s="3" t="n">
        <v>568.65</v>
      </c>
      <c r="K464" s="3" t="n">
        <v>11373</v>
      </c>
      <c r="L464" s="3" t="n">
        <v>6823.8</v>
      </c>
      <c r="M464" s="2" t="n">
        <v>4549.2</v>
      </c>
      <c r="N464" s="2" t="inlineStr">
        <is>
          <t>New</t>
        </is>
      </c>
      <c r="O464" s="2" t="inlineStr">
        <is>
          <t>Offline</t>
        </is>
      </c>
      <c r="P464" s="3" t="n">
        <v>10178.09</v>
      </c>
      <c r="Q464" s="3" t="n">
        <v>111.74</v>
      </c>
      <c r="R464" s="3" t="inlineStr"/>
    </row>
    <row r="465">
      <c r="A465" s="4" t="inlineStr">
        <is>
          <t>ORD-1464</t>
        </is>
      </c>
      <c r="B465" s="5" t="inlineStr">
        <is>
          <t>12-09-2024</t>
        </is>
      </c>
      <c r="C465" s="5" t="inlineStr">
        <is>
          <t>Sep-2024</t>
        </is>
      </c>
      <c r="D465" s="4" t="inlineStr">
        <is>
          <t>West</t>
        </is>
      </c>
      <c r="E465" s="4" t="inlineStr">
        <is>
          <t>Pune</t>
        </is>
      </c>
      <c r="F465" s="5" t="inlineStr">
        <is>
          <t>Arjun Mehta</t>
        </is>
      </c>
      <c r="G465" s="5" t="inlineStr">
        <is>
          <t>Apparel</t>
        </is>
      </c>
      <c r="H465" s="4" t="inlineStr">
        <is>
          <t>T-Shirt</t>
        </is>
      </c>
      <c r="I465" s="4" t="n">
        <v>14</v>
      </c>
      <c r="J465" s="5" t="n">
        <v>41.13</v>
      </c>
      <c r="K465" s="5" t="n">
        <v>575.8200000000001</v>
      </c>
      <c r="L465" s="5" t="n">
        <v>259.12</v>
      </c>
      <c r="M465" s="4" t="n">
        <v>316.7</v>
      </c>
      <c r="N465" s="4" t="inlineStr">
        <is>
          <t>New</t>
        </is>
      </c>
      <c r="O465" s="4" t="inlineStr">
        <is>
          <t>Online</t>
        </is>
      </c>
      <c r="P465" s="5" t="n">
        <v>611.29</v>
      </c>
      <c r="Q465" s="5" t="n">
        <v>94.2</v>
      </c>
      <c r="R465" s="5" t="inlineStr"/>
    </row>
    <row r="466">
      <c r="A466" s="2" t="inlineStr">
        <is>
          <t>ORD-1465</t>
        </is>
      </c>
      <c r="B466" s="3" t="inlineStr">
        <is>
          <t>12-09-2024</t>
        </is>
      </c>
      <c r="C466" s="3" t="inlineStr">
        <is>
          <t>Sep-2024</t>
        </is>
      </c>
      <c r="D466" s="2" t="inlineStr">
        <is>
          <t>North</t>
        </is>
      </c>
      <c r="E466" s="2" t="inlineStr">
        <is>
          <t>Delhi</t>
        </is>
      </c>
      <c r="F466" s="3" t="inlineStr">
        <is>
          <t>Arjun Mehta</t>
        </is>
      </c>
      <c r="G466" s="3" t="inlineStr">
        <is>
          <t>Furniture</t>
        </is>
      </c>
      <c r="H466" s="2" t="inlineStr">
        <is>
          <t>Office Chair</t>
        </is>
      </c>
      <c r="I466" s="2" t="n">
        <v>7</v>
      </c>
      <c r="J466" s="3" t="n">
        <v>322.49</v>
      </c>
      <c r="K466" s="3" t="n">
        <v>2257.43</v>
      </c>
      <c r="L466" s="3" t="n">
        <v>1241.59</v>
      </c>
      <c r="M466" s="2" t="n">
        <v>1015.84</v>
      </c>
      <c r="N466" s="2" t="inlineStr">
        <is>
          <t>New</t>
        </is>
      </c>
      <c r="O466" s="2" t="inlineStr">
        <is>
          <t>Online</t>
        </is>
      </c>
      <c r="P466" s="3" t="n">
        <v>1841.86</v>
      </c>
      <c r="Q466" s="3" t="n">
        <v>122.56</v>
      </c>
      <c r="R466" s="3" t="inlineStr"/>
    </row>
    <row r="467">
      <c r="A467" s="4" t="inlineStr">
        <is>
          <t>ORD-1466</t>
        </is>
      </c>
      <c r="B467" s="5" t="inlineStr">
        <is>
          <t>12-09-2024</t>
        </is>
      </c>
      <c r="C467" s="5" t="inlineStr">
        <is>
          <t>Sep-2024</t>
        </is>
      </c>
      <c r="D467" s="4" t="inlineStr">
        <is>
          <t>West</t>
        </is>
      </c>
      <c r="E467" s="4" t="inlineStr">
        <is>
          <t>Pune</t>
        </is>
      </c>
      <c r="F467" s="5" t="inlineStr">
        <is>
          <t>Pooja Joshi</t>
        </is>
      </c>
      <c r="G467" s="5" t="inlineStr">
        <is>
          <t>Apparel</t>
        </is>
      </c>
      <c r="H467" s="4" t="inlineStr">
        <is>
          <t>Jacket</t>
        </is>
      </c>
      <c r="I467" s="4" t="n">
        <v>12</v>
      </c>
      <c r="J467" s="5" t="n">
        <v>113.3</v>
      </c>
      <c r="K467" s="5" t="n">
        <v>1359.6</v>
      </c>
      <c r="L467" s="5" t="n">
        <v>611.8200000000001</v>
      </c>
      <c r="M467" s="4" t="n">
        <v>747.78</v>
      </c>
      <c r="N467" s="4" t="inlineStr">
        <is>
          <t>New</t>
        </is>
      </c>
      <c r="O467" s="4" t="inlineStr">
        <is>
          <t>Online</t>
        </is>
      </c>
      <c r="P467" s="5" t="n">
        <v>1720.04</v>
      </c>
      <c r="Q467" s="5" t="n">
        <v>79.04000000000001</v>
      </c>
      <c r="R467" s="5" t="inlineStr"/>
    </row>
    <row r="468">
      <c r="A468" s="2" t="inlineStr">
        <is>
          <t>ORD-1467</t>
        </is>
      </c>
      <c r="B468" s="3" t="inlineStr">
        <is>
          <t>13-09-2024</t>
        </is>
      </c>
      <c r="C468" s="3" t="inlineStr">
        <is>
          <t>Sep-2024</t>
        </is>
      </c>
      <c r="D468" s="2" t="inlineStr">
        <is>
          <t>West</t>
        </is>
      </c>
      <c r="E468" s="2" t="inlineStr">
        <is>
          <t>Mumbai</t>
        </is>
      </c>
      <c r="F468" s="3" t="inlineStr">
        <is>
          <t>Pooja Joshi</t>
        </is>
      </c>
      <c r="G468" s="3" t="inlineStr">
        <is>
          <t>Electronics</t>
        </is>
      </c>
      <c r="H468" s="2" t="inlineStr">
        <is>
          <t>Tablet</t>
        </is>
      </c>
      <c r="I468" s="2" t="n">
        <v>18</v>
      </c>
      <c r="J468" s="3" t="n">
        <v>629.22</v>
      </c>
      <c r="K468" s="3" t="n">
        <v>11325.96</v>
      </c>
      <c r="L468" s="3" t="n">
        <v>6795.58</v>
      </c>
      <c r="M468" s="2" t="n">
        <v>4530.38</v>
      </c>
      <c r="N468" s="2" t="inlineStr">
        <is>
          <t>Existing</t>
        </is>
      </c>
      <c r="O468" s="2" t="inlineStr">
        <is>
          <t>Offline</t>
        </is>
      </c>
      <c r="P468" s="3" t="n">
        <v>13558.59</v>
      </c>
      <c r="Q468" s="3" t="n">
        <v>83.53</v>
      </c>
      <c r="R468" s="3" t="inlineStr"/>
    </row>
    <row r="469">
      <c r="A469" s="4" t="inlineStr">
        <is>
          <t>ORD-1468</t>
        </is>
      </c>
      <c r="B469" s="5" t="inlineStr">
        <is>
          <t>14-09-2024</t>
        </is>
      </c>
      <c r="C469" s="5" t="inlineStr">
        <is>
          <t>Sep-2024</t>
        </is>
      </c>
      <c r="D469" s="4" t="inlineStr">
        <is>
          <t>East</t>
        </is>
      </c>
      <c r="E469" s="4" t="inlineStr">
        <is>
          <t>Patna</t>
        </is>
      </c>
      <c r="F469" s="5" t="inlineStr">
        <is>
          <t>Rahul Sharma</t>
        </is>
      </c>
      <c r="G469" s="5" t="inlineStr">
        <is>
          <t>Electronics</t>
        </is>
      </c>
      <c r="H469" s="4" t="inlineStr">
        <is>
          <t>Tablet</t>
        </is>
      </c>
      <c r="I469" s="4" t="n">
        <v>3</v>
      </c>
      <c r="J469" s="5" t="n">
        <v>653.35</v>
      </c>
      <c r="K469" s="5" t="n">
        <v>1960.05</v>
      </c>
      <c r="L469" s="5" t="n">
        <v>1176.03</v>
      </c>
      <c r="M469" s="4" t="n">
        <v>784.02</v>
      </c>
      <c r="N469" s="4" t="inlineStr">
        <is>
          <t>New</t>
        </is>
      </c>
      <c r="O469" s="4" t="inlineStr">
        <is>
          <t>Online</t>
        </is>
      </c>
      <c r="P469" s="5" t="n">
        <v>2278.73</v>
      </c>
      <c r="Q469" s="5" t="n">
        <v>86.02</v>
      </c>
      <c r="R469" s="5" t="inlineStr"/>
    </row>
    <row r="470">
      <c r="A470" s="2" t="inlineStr">
        <is>
          <t>ORD-1469</t>
        </is>
      </c>
      <c r="B470" s="3" t="inlineStr">
        <is>
          <t>15-09-2024</t>
        </is>
      </c>
      <c r="C470" s="3" t="inlineStr">
        <is>
          <t>Sep-2024</t>
        </is>
      </c>
      <c r="D470" s="2" t="inlineStr">
        <is>
          <t>South</t>
        </is>
      </c>
      <c r="E470" s="2" t="inlineStr">
        <is>
          <t>Chennai</t>
        </is>
      </c>
      <c r="F470" s="3" t="inlineStr">
        <is>
          <t>Ravi Verma</t>
        </is>
      </c>
      <c r="G470" s="3" t="inlineStr">
        <is>
          <t>Furniture</t>
        </is>
      </c>
      <c r="H470" s="2" t="inlineStr">
        <is>
          <t>Desk</t>
        </is>
      </c>
      <c r="I470" s="2" t="n">
        <v>18</v>
      </c>
      <c r="J470" s="3" t="n">
        <v>472.43</v>
      </c>
      <c r="K470" s="3" t="n">
        <v>8503.74</v>
      </c>
      <c r="L470" s="3" t="n">
        <v>4677.06</v>
      </c>
      <c r="M470" s="2" t="n">
        <v>3826.68</v>
      </c>
      <c r="N470" s="2" t="inlineStr">
        <is>
          <t>Existing</t>
        </is>
      </c>
      <c r="O470" s="2" t="inlineStr">
        <is>
          <t>Online</t>
        </is>
      </c>
      <c r="P470" s="3" t="n">
        <v>10061.13</v>
      </c>
      <c r="Q470" s="3" t="n">
        <v>84.52</v>
      </c>
      <c r="R470" s="3" t="inlineStr"/>
    </row>
    <row r="471">
      <c r="A471" s="4" t="inlineStr">
        <is>
          <t>ORD-1470</t>
        </is>
      </c>
      <c r="B471" s="5" t="inlineStr">
        <is>
          <t>16-09-2024</t>
        </is>
      </c>
      <c r="C471" s="5" t="inlineStr">
        <is>
          <t>Sep-2024</t>
        </is>
      </c>
      <c r="D471" s="4" t="inlineStr">
        <is>
          <t>East</t>
        </is>
      </c>
      <c r="E471" s="4" t="inlineStr">
        <is>
          <t>Patna</t>
        </is>
      </c>
      <c r="F471" s="5" t="inlineStr">
        <is>
          <t>Pooja Joshi</t>
        </is>
      </c>
      <c r="G471" s="5" t="inlineStr">
        <is>
          <t>Software</t>
        </is>
      </c>
      <c r="H471" s="4" t="inlineStr">
        <is>
          <t>ERP Suite</t>
        </is>
      </c>
      <c r="I471" s="4" t="n">
        <v>6</v>
      </c>
      <c r="J471" s="5" t="n">
        <v>5292.46</v>
      </c>
      <c r="K471" s="5" t="n">
        <v>31754.76</v>
      </c>
      <c r="L471" s="5" t="n">
        <v>9526.43</v>
      </c>
      <c r="M471" s="4" t="n">
        <v>22228.33</v>
      </c>
      <c r="N471" s="4" t="inlineStr">
        <is>
          <t>Existing</t>
        </is>
      </c>
      <c r="O471" s="4" t="inlineStr">
        <is>
          <t>Offline</t>
        </is>
      </c>
      <c r="P471" s="5" t="n">
        <v>35843.69</v>
      </c>
      <c r="Q471" s="5" t="n">
        <v>88.59</v>
      </c>
      <c r="R471" s="5" t="inlineStr"/>
    </row>
    <row r="472">
      <c r="A472" s="2" t="inlineStr">
        <is>
          <t>ORD-1471</t>
        </is>
      </c>
      <c r="B472" s="3" t="inlineStr">
        <is>
          <t>16-09-2024</t>
        </is>
      </c>
      <c r="C472" s="3" t="inlineStr">
        <is>
          <t>Sep-2024</t>
        </is>
      </c>
      <c r="D472" s="2" t="inlineStr">
        <is>
          <t>West</t>
        </is>
      </c>
      <c r="E472" s="2" t="inlineStr">
        <is>
          <t>Ahmedabad</t>
        </is>
      </c>
      <c r="F472" s="3" t="inlineStr">
        <is>
          <t>Deepa Nair</t>
        </is>
      </c>
      <c r="G472" s="3" t="inlineStr">
        <is>
          <t>Apparel</t>
        </is>
      </c>
      <c r="H472" s="2" t="inlineStr">
        <is>
          <t>T-Shirt</t>
        </is>
      </c>
      <c r="I472" s="2" t="n">
        <v>14</v>
      </c>
      <c r="J472" s="3" t="n">
        <v>42.11</v>
      </c>
      <c r="K472" s="3" t="n">
        <v>589.54</v>
      </c>
      <c r="L472" s="3" t="n">
        <v>265.29</v>
      </c>
      <c r="M472" s="2" t="n">
        <v>324.25</v>
      </c>
      <c r="N472" s="2" t="inlineStr">
        <is>
          <t>Existing</t>
        </is>
      </c>
      <c r="O472" s="2" t="inlineStr">
        <is>
          <t>Offline</t>
        </is>
      </c>
      <c r="P472" s="3" t="n">
        <v>650.97</v>
      </c>
      <c r="Q472" s="3" t="n">
        <v>90.56</v>
      </c>
      <c r="R472" s="3" t="inlineStr"/>
    </row>
    <row r="473">
      <c r="A473" s="4" t="inlineStr">
        <is>
          <t>ORD-1472</t>
        </is>
      </c>
      <c r="B473" s="5" t="inlineStr">
        <is>
          <t>16-09-2024</t>
        </is>
      </c>
      <c r="C473" s="5" t="inlineStr">
        <is>
          <t>Sep-2024</t>
        </is>
      </c>
      <c r="D473" s="4" t="inlineStr">
        <is>
          <t>South</t>
        </is>
      </c>
      <c r="E473" s="4" t="inlineStr">
        <is>
          <t>Bangalore</t>
        </is>
      </c>
      <c r="F473" s="5" t="inlineStr">
        <is>
          <t>Ravi Verma</t>
        </is>
      </c>
      <c r="G473" s="5" t="inlineStr">
        <is>
          <t>Apparel</t>
        </is>
      </c>
      <c r="H473" s="4" t="inlineStr">
        <is>
          <t>T-Shirt</t>
        </is>
      </c>
      <c r="I473" s="4" t="n">
        <v>15</v>
      </c>
      <c r="J473" s="5" t="n">
        <v>39.58</v>
      </c>
      <c r="K473" s="5" t="n">
        <v>593.7</v>
      </c>
      <c r="L473" s="5" t="n">
        <v>267.17</v>
      </c>
      <c r="M473" s="4" t="n">
        <v>326.53</v>
      </c>
      <c r="N473" s="4" t="inlineStr">
        <is>
          <t>Existing</t>
        </is>
      </c>
      <c r="O473" s="4" t="inlineStr">
        <is>
          <t>Online</t>
        </is>
      </c>
      <c r="P473" s="5" t="n">
        <v>690.5700000000001</v>
      </c>
      <c r="Q473" s="5" t="n">
        <v>85.97</v>
      </c>
      <c r="R473" s="5" t="inlineStr"/>
    </row>
    <row r="474">
      <c r="A474" s="2" t="inlineStr">
        <is>
          <t>ORD-1473</t>
        </is>
      </c>
      <c r="B474" s="3" t="inlineStr">
        <is>
          <t>17-09-2024</t>
        </is>
      </c>
      <c r="C474" s="3" t="inlineStr">
        <is>
          <t>Sep-2024</t>
        </is>
      </c>
      <c r="D474" s="2" t="inlineStr">
        <is>
          <t>North</t>
        </is>
      </c>
      <c r="E474" s="2" t="inlineStr">
        <is>
          <t>Lucknow</t>
        </is>
      </c>
      <c r="F474" s="3" t="inlineStr">
        <is>
          <t>Arjun Mehta</t>
        </is>
      </c>
      <c r="G474" s="3" t="inlineStr">
        <is>
          <t>Apparel</t>
        </is>
      </c>
      <c r="H474" s="2" t="inlineStr">
        <is>
          <t>Jacket</t>
        </is>
      </c>
      <c r="I474" s="2" t="n">
        <v>10</v>
      </c>
      <c r="J474" s="3" t="n">
        <v>131.63</v>
      </c>
      <c r="K474" s="3" t="n">
        <v>1316.3</v>
      </c>
      <c r="L474" s="3" t="n">
        <v>592.34</v>
      </c>
      <c r="M474" s="2" t="n">
        <v>723.96</v>
      </c>
      <c r="N474" s="2" t="inlineStr">
        <is>
          <t>New</t>
        </is>
      </c>
      <c r="O474" s="2" t="inlineStr">
        <is>
          <t>Offline</t>
        </is>
      </c>
      <c r="P474" s="3" t="n">
        <v>1067.32</v>
      </c>
      <c r="Q474" s="3" t="n">
        <v>123.33</v>
      </c>
      <c r="R474" s="3" t="inlineStr"/>
    </row>
    <row r="475">
      <c r="A475" s="4" t="inlineStr">
        <is>
          <t>ORD-1474</t>
        </is>
      </c>
      <c r="B475" s="5" t="inlineStr">
        <is>
          <t>17-09-2024</t>
        </is>
      </c>
      <c r="C475" s="5" t="inlineStr">
        <is>
          <t>Sep-2024</t>
        </is>
      </c>
      <c r="D475" s="4" t="inlineStr">
        <is>
          <t>East</t>
        </is>
      </c>
      <c r="E475" s="4" t="inlineStr">
        <is>
          <t>Patna</t>
        </is>
      </c>
      <c r="F475" s="5" t="inlineStr">
        <is>
          <t>Ravi Verma</t>
        </is>
      </c>
      <c r="G475" s="5" t="inlineStr">
        <is>
          <t>Furniture</t>
        </is>
      </c>
      <c r="H475" s="4" t="inlineStr">
        <is>
          <t>Office Chair</t>
        </is>
      </c>
      <c r="I475" s="4" t="n">
        <v>2</v>
      </c>
      <c r="J475" s="5" t="n">
        <v>347.23</v>
      </c>
      <c r="K475" s="5" t="n">
        <v>694.46</v>
      </c>
      <c r="L475" s="5" t="n">
        <v>381.95</v>
      </c>
      <c r="M475" s="4" t="n">
        <v>312.51</v>
      </c>
      <c r="N475" s="4" t="inlineStr">
        <is>
          <t>New</t>
        </is>
      </c>
      <c r="O475" s="4" t="inlineStr">
        <is>
          <t>Online</t>
        </is>
      </c>
      <c r="P475" s="5" t="n">
        <v>647.58</v>
      </c>
      <c r="Q475" s="5" t="n">
        <v>107.24</v>
      </c>
      <c r="R475" s="5" t="inlineStr"/>
    </row>
    <row r="476">
      <c r="A476" s="2" t="inlineStr">
        <is>
          <t>ORD-1475</t>
        </is>
      </c>
      <c r="B476" s="3" t="inlineStr">
        <is>
          <t>18-09-2024</t>
        </is>
      </c>
      <c r="C476" s="3" t="inlineStr">
        <is>
          <t>Sep-2024</t>
        </is>
      </c>
      <c r="D476" s="2" t="inlineStr">
        <is>
          <t>South</t>
        </is>
      </c>
      <c r="E476" s="2" t="inlineStr">
        <is>
          <t>Chennai</t>
        </is>
      </c>
      <c r="F476" s="3" t="inlineStr">
        <is>
          <t>Vikram Singh</t>
        </is>
      </c>
      <c r="G476" s="3" t="inlineStr">
        <is>
          <t>Apparel</t>
        </is>
      </c>
      <c r="H476" s="2" t="inlineStr">
        <is>
          <t>Jacket</t>
        </is>
      </c>
      <c r="I476" s="2" t="n">
        <v>19</v>
      </c>
      <c r="J476" s="3" t="n">
        <v>117.6</v>
      </c>
      <c r="K476" s="3" t="n">
        <v>2234.4</v>
      </c>
      <c r="L476" s="3" t="n">
        <v>1005.48</v>
      </c>
      <c r="M476" s="2" t="n">
        <v>1228.92</v>
      </c>
      <c r="N476" s="2" t="inlineStr">
        <is>
          <t>New</t>
        </is>
      </c>
      <c r="O476" s="2" t="inlineStr">
        <is>
          <t>Online</t>
        </is>
      </c>
      <c r="P476" s="3" t="n">
        <v>2595.9</v>
      </c>
      <c r="Q476" s="3" t="n">
        <v>86.06999999999999</v>
      </c>
      <c r="R476" s="3" t="inlineStr"/>
    </row>
    <row r="477">
      <c r="A477" s="4" t="inlineStr">
        <is>
          <t>ORD-1476</t>
        </is>
      </c>
      <c r="B477" s="5" t="inlineStr">
        <is>
          <t>18-09-2024</t>
        </is>
      </c>
      <c r="C477" s="5" t="inlineStr">
        <is>
          <t>Sep-2024</t>
        </is>
      </c>
      <c r="D477" s="4" t="inlineStr">
        <is>
          <t>West</t>
        </is>
      </c>
      <c r="E477" s="4" t="inlineStr">
        <is>
          <t>Mumbai</t>
        </is>
      </c>
      <c r="F477" s="5" t="inlineStr">
        <is>
          <t>Pooja Joshi</t>
        </is>
      </c>
      <c r="G477" s="5" t="inlineStr">
        <is>
          <t>Electronics</t>
        </is>
      </c>
      <c r="H477" s="4" t="inlineStr">
        <is>
          <t>Tablet</t>
        </is>
      </c>
      <c r="I477" s="4" t="n">
        <v>2</v>
      </c>
      <c r="J477" s="5" t="n">
        <v>627.6900000000001</v>
      </c>
      <c r="K477" s="5" t="n">
        <v>1255.38</v>
      </c>
      <c r="L477" s="5" t="n">
        <v>753.23</v>
      </c>
      <c r="M477" s="4" t="n">
        <v>502.15</v>
      </c>
      <c r="N477" s="4" t="inlineStr">
        <is>
          <t>Existing</t>
        </is>
      </c>
      <c r="O477" s="4" t="inlineStr">
        <is>
          <t>Online</t>
        </is>
      </c>
      <c r="P477" s="5" t="n">
        <v>1493.98</v>
      </c>
      <c r="Q477" s="5" t="n">
        <v>84.03</v>
      </c>
      <c r="R477" s="5" t="inlineStr"/>
    </row>
    <row r="478">
      <c r="A478" s="2" t="inlineStr">
        <is>
          <t>ORD-1477</t>
        </is>
      </c>
      <c r="B478" s="3" t="inlineStr">
        <is>
          <t>18-09-2024</t>
        </is>
      </c>
      <c r="C478" s="3" t="inlineStr">
        <is>
          <t>Sep-2024</t>
        </is>
      </c>
      <c r="D478" s="2" t="inlineStr">
        <is>
          <t>East</t>
        </is>
      </c>
      <c r="E478" s="2" t="inlineStr">
        <is>
          <t>Bhubaneswar</t>
        </is>
      </c>
      <c r="F478" s="3" t="inlineStr">
        <is>
          <t>Amit Kumar</t>
        </is>
      </c>
      <c r="G478" s="3" t="inlineStr">
        <is>
          <t>Software</t>
        </is>
      </c>
      <c r="H478" s="2" t="inlineStr">
        <is>
          <t>ERP Suite</t>
        </is>
      </c>
      <c r="I478" s="2" t="n">
        <v>8</v>
      </c>
      <c r="J478" s="3" t="n">
        <v>5247.68</v>
      </c>
      <c r="K478" s="3" t="n">
        <v>41981.44</v>
      </c>
      <c r="L478" s="3" t="n">
        <v>12594.43</v>
      </c>
      <c r="M478" s="2" t="n">
        <v>29387.01</v>
      </c>
      <c r="N478" s="2" t="inlineStr">
        <is>
          <t>New</t>
        </is>
      </c>
      <c r="O478" s="2" t="inlineStr">
        <is>
          <t>Offline</t>
        </is>
      </c>
      <c r="P478" s="3" t="n">
        <v>34721.34</v>
      </c>
      <c r="Q478" s="3" t="n">
        <v>120.91</v>
      </c>
      <c r="R478" s="3" t="inlineStr"/>
    </row>
    <row r="479">
      <c r="A479" s="4" t="inlineStr">
        <is>
          <t>ORD-1478</t>
        </is>
      </c>
      <c r="B479" s="5" t="inlineStr">
        <is>
          <t>19-09-2024</t>
        </is>
      </c>
      <c r="C479" s="5" t="inlineStr">
        <is>
          <t>Sep-2024</t>
        </is>
      </c>
      <c r="D479" s="4" t="inlineStr">
        <is>
          <t>North</t>
        </is>
      </c>
      <c r="E479" s="4" t="inlineStr">
        <is>
          <t>Chandigarh</t>
        </is>
      </c>
      <c r="F479" s="5" t="inlineStr">
        <is>
          <t>Ravi Verma</t>
        </is>
      </c>
      <c r="G479" s="5" t="inlineStr">
        <is>
          <t>Furniture</t>
        </is>
      </c>
      <c r="H479" s="4" t="inlineStr">
        <is>
          <t>Bookshelf</t>
        </is>
      </c>
      <c r="I479" s="4" t="n">
        <v>17</v>
      </c>
      <c r="J479" s="5" t="n">
        <v>207.91</v>
      </c>
      <c r="K479" s="5" t="n">
        <v>3534.47</v>
      </c>
      <c r="L479" s="5" t="n">
        <v>1943.96</v>
      </c>
      <c r="M479" s="4" t="n">
        <v>1590.51</v>
      </c>
      <c r="N479" s="4" t="inlineStr">
        <is>
          <t>New</t>
        </is>
      </c>
      <c r="O479" s="4" t="inlineStr">
        <is>
          <t>Online</t>
        </is>
      </c>
      <c r="P479" s="5" t="n">
        <v>4018.05</v>
      </c>
      <c r="Q479" s="5" t="n">
        <v>87.95999999999999</v>
      </c>
      <c r="R479" s="5" t="inlineStr"/>
    </row>
    <row r="480">
      <c r="A480" s="2" t="inlineStr">
        <is>
          <t>ORD-1479</t>
        </is>
      </c>
      <c r="B480" s="3" t="inlineStr">
        <is>
          <t>19-09-2024</t>
        </is>
      </c>
      <c r="C480" s="3" t="inlineStr">
        <is>
          <t>Sep-2024</t>
        </is>
      </c>
      <c r="D480" s="2" t="inlineStr">
        <is>
          <t>West</t>
        </is>
      </c>
      <c r="E480" s="2" t="inlineStr">
        <is>
          <t>Ahmedabad</t>
        </is>
      </c>
      <c r="F480" s="3" t="inlineStr">
        <is>
          <t>Kavita Rao</t>
        </is>
      </c>
      <c r="G480" s="3" t="inlineStr">
        <is>
          <t>Electronics</t>
        </is>
      </c>
      <c r="H480" s="2" t="inlineStr">
        <is>
          <t>Smartphone</t>
        </is>
      </c>
      <c r="I480" s="2" t="n">
        <v>14</v>
      </c>
      <c r="J480" s="3" t="n">
        <v>766.37</v>
      </c>
      <c r="K480" s="3" t="n">
        <v>10729.18</v>
      </c>
      <c r="L480" s="3" t="n">
        <v>6437.51</v>
      </c>
      <c r="M480" s="2" t="n">
        <v>4291.67</v>
      </c>
      <c r="N480" s="2" t="inlineStr">
        <is>
          <t>Existing</t>
        </is>
      </c>
      <c r="O480" s="2" t="inlineStr">
        <is>
          <t>Online</t>
        </is>
      </c>
      <c r="P480" s="3" t="n">
        <v>9292.48</v>
      </c>
      <c r="Q480" s="3" t="n">
        <v>115.46</v>
      </c>
      <c r="R480" s="3" t="inlineStr"/>
    </row>
    <row r="481">
      <c r="A481" s="4" t="inlineStr">
        <is>
          <t>ORD-1480</t>
        </is>
      </c>
      <c r="B481" s="5" t="inlineStr">
        <is>
          <t>19-09-2024</t>
        </is>
      </c>
      <c r="C481" s="5" t="inlineStr">
        <is>
          <t>Sep-2024</t>
        </is>
      </c>
      <c r="D481" s="4" t="inlineStr">
        <is>
          <t>North</t>
        </is>
      </c>
      <c r="E481" s="4" t="inlineStr">
        <is>
          <t>Chandigarh</t>
        </is>
      </c>
      <c r="F481" s="5" t="inlineStr">
        <is>
          <t>Kavita Rao</t>
        </is>
      </c>
      <c r="G481" s="5" t="inlineStr">
        <is>
          <t>Electronics</t>
        </is>
      </c>
      <c r="H481" s="4" t="inlineStr">
        <is>
          <t>Smartwatch</t>
        </is>
      </c>
      <c r="I481" s="4" t="n">
        <v>9</v>
      </c>
      <c r="J481" s="5" t="n">
        <v>275.1</v>
      </c>
      <c r="K481" s="5" t="n">
        <v>2475.9</v>
      </c>
      <c r="L481" s="5" t="n">
        <v>1485.54</v>
      </c>
      <c r="M481" s="4" t="n">
        <v>990.36</v>
      </c>
      <c r="N481" s="4" t="inlineStr">
        <is>
          <t>Existing</t>
        </is>
      </c>
      <c r="O481" s="4" t="inlineStr">
        <is>
          <t>Online</t>
        </is>
      </c>
      <c r="P481" s="5" t="n">
        <v>2924.08</v>
      </c>
      <c r="Q481" s="5" t="n">
        <v>84.67</v>
      </c>
      <c r="R481" s="5" t="inlineStr"/>
    </row>
    <row r="482">
      <c r="A482" s="2" t="inlineStr">
        <is>
          <t>ORD-1481</t>
        </is>
      </c>
      <c r="B482" s="3" t="inlineStr">
        <is>
          <t>20-09-2024</t>
        </is>
      </c>
      <c r="C482" s="3" t="inlineStr">
        <is>
          <t>Sep-2024</t>
        </is>
      </c>
      <c r="D482" s="2" t="inlineStr">
        <is>
          <t>South</t>
        </is>
      </c>
      <c r="E482" s="2" t="inlineStr">
        <is>
          <t>Bangalore</t>
        </is>
      </c>
      <c r="F482" s="3" t="inlineStr">
        <is>
          <t>Amit Kumar</t>
        </is>
      </c>
      <c r="G482" s="3" t="inlineStr">
        <is>
          <t>Furniture</t>
        </is>
      </c>
      <c r="H482" s="2" t="inlineStr">
        <is>
          <t>Desk</t>
        </is>
      </c>
      <c r="I482" s="2" t="n">
        <v>8</v>
      </c>
      <c r="J482" s="3" t="n">
        <v>411.45</v>
      </c>
      <c r="K482" s="3" t="n">
        <v>3291.6</v>
      </c>
      <c r="L482" s="3" t="n">
        <v>1810.38</v>
      </c>
      <c r="M482" s="2" t="n">
        <v>1481.22</v>
      </c>
      <c r="N482" s="2" t="inlineStr">
        <is>
          <t>Existing</t>
        </is>
      </c>
      <c r="O482" s="2" t="inlineStr">
        <is>
          <t>Offline</t>
        </is>
      </c>
      <c r="P482" s="3" t="n">
        <v>3760.22</v>
      </c>
      <c r="Q482" s="3" t="n">
        <v>87.54000000000001</v>
      </c>
      <c r="R482" s="3" t="inlineStr"/>
    </row>
    <row r="483">
      <c r="A483" s="4" t="inlineStr">
        <is>
          <t>ORD-1482</t>
        </is>
      </c>
      <c r="B483" s="5" t="inlineStr">
        <is>
          <t>20-09-2024</t>
        </is>
      </c>
      <c r="C483" s="5" t="inlineStr">
        <is>
          <t>Sep-2024</t>
        </is>
      </c>
      <c r="D483" s="4" t="inlineStr">
        <is>
          <t>North</t>
        </is>
      </c>
      <c r="E483" s="4" t="inlineStr">
        <is>
          <t>Delhi</t>
        </is>
      </c>
      <c r="F483" s="5" t="inlineStr">
        <is>
          <t>Amit Kumar</t>
        </is>
      </c>
      <c r="G483" s="5" t="inlineStr">
        <is>
          <t>Software</t>
        </is>
      </c>
      <c r="H483" s="4" t="inlineStr">
        <is>
          <t>Analytics Pro</t>
        </is>
      </c>
      <c r="I483" s="4" t="n">
        <v>12</v>
      </c>
      <c r="J483" s="5" t="n">
        <v>2345.24</v>
      </c>
      <c r="K483" s="5" t="n">
        <v>28142.88</v>
      </c>
      <c r="L483" s="5" t="n">
        <v>8442.860000000001</v>
      </c>
      <c r="M483" s="4" t="n">
        <v>19700.02</v>
      </c>
      <c r="N483" s="4" t="inlineStr">
        <is>
          <t>Existing</t>
        </is>
      </c>
      <c r="O483" s="4" t="inlineStr">
        <is>
          <t>Online</t>
        </is>
      </c>
      <c r="P483" s="5" t="n">
        <v>33344.83</v>
      </c>
      <c r="Q483" s="5" t="n">
        <v>84.40000000000001</v>
      </c>
      <c r="R483" s="5" t="inlineStr"/>
    </row>
    <row r="484">
      <c r="A484" s="2" t="inlineStr">
        <is>
          <t>ORD-1483</t>
        </is>
      </c>
      <c r="B484" s="3" t="inlineStr">
        <is>
          <t>21-09-2024</t>
        </is>
      </c>
      <c r="C484" s="3" t="inlineStr">
        <is>
          <t>Sep-2024</t>
        </is>
      </c>
      <c r="D484" s="2" t="inlineStr">
        <is>
          <t>East</t>
        </is>
      </c>
      <c r="E484" s="2" t="inlineStr">
        <is>
          <t>Patna</t>
        </is>
      </c>
      <c r="F484" s="3" t="inlineStr">
        <is>
          <t>Pooja Joshi</t>
        </is>
      </c>
      <c r="G484" s="3" t="inlineStr">
        <is>
          <t>Furniture</t>
        </is>
      </c>
      <c r="H484" s="2" t="inlineStr">
        <is>
          <t>Cabinet</t>
        </is>
      </c>
      <c r="I484" s="2" t="n">
        <v>2</v>
      </c>
      <c r="J484" s="3" t="n">
        <v>325.45</v>
      </c>
      <c r="K484" s="3" t="n">
        <v>650.9</v>
      </c>
      <c r="L484" s="3" t="n">
        <v>358</v>
      </c>
      <c r="M484" s="2" t="n">
        <v>292.9</v>
      </c>
      <c r="N484" s="2" t="inlineStr">
        <is>
          <t>New</t>
        </is>
      </c>
      <c r="O484" s="2" t="inlineStr">
        <is>
          <t>Online</t>
        </is>
      </c>
      <c r="P484" s="3" t="n">
        <v>743.77</v>
      </c>
      <c r="Q484" s="3" t="n">
        <v>87.51000000000001</v>
      </c>
      <c r="R484" s="3" t="inlineStr"/>
    </row>
    <row r="485">
      <c r="A485" s="4" t="inlineStr">
        <is>
          <t>ORD-1484</t>
        </is>
      </c>
      <c r="B485" s="5" t="inlineStr">
        <is>
          <t>23-09-2024</t>
        </is>
      </c>
      <c r="C485" s="5" t="inlineStr">
        <is>
          <t>Sep-2024</t>
        </is>
      </c>
      <c r="D485" s="4" t="inlineStr">
        <is>
          <t>North</t>
        </is>
      </c>
      <c r="E485" s="4" t="inlineStr">
        <is>
          <t>Delhi</t>
        </is>
      </c>
      <c r="F485" s="5" t="inlineStr">
        <is>
          <t>Rahul Sharma</t>
        </is>
      </c>
      <c r="G485" s="5" t="inlineStr">
        <is>
          <t>Furniture</t>
        </is>
      </c>
      <c r="H485" s="4" t="inlineStr">
        <is>
          <t>Desk</t>
        </is>
      </c>
      <c r="I485" s="4" t="n">
        <v>10</v>
      </c>
      <c r="J485" s="5" t="n">
        <v>406.24</v>
      </c>
      <c r="K485" s="5" t="n">
        <v>4062.4</v>
      </c>
      <c r="L485" s="5" t="n">
        <v>2234.32</v>
      </c>
      <c r="M485" s="4" t="n">
        <v>1828.08</v>
      </c>
      <c r="N485" s="4" t="inlineStr">
        <is>
          <t>New</t>
        </is>
      </c>
      <c r="O485" s="4" t="inlineStr">
        <is>
          <t>Offline</t>
        </is>
      </c>
      <c r="P485" s="5" t="n">
        <v>4164.09</v>
      </c>
      <c r="Q485" s="5" t="n">
        <v>97.56</v>
      </c>
      <c r="R485" s="5" t="inlineStr"/>
    </row>
    <row r="486">
      <c r="A486" s="2" t="inlineStr">
        <is>
          <t>ORD-1485</t>
        </is>
      </c>
      <c r="B486" s="3" t="inlineStr">
        <is>
          <t>23-09-2024</t>
        </is>
      </c>
      <c r="C486" s="3" t="inlineStr">
        <is>
          <t>Sep-2024</t>
        </is>
      </c>
      <c r="D486" s="2" t="inlineStr">
        <is>
          <t>North</t>
        </is>
      </c>
      <c r="E486" s="2" t="inlineStr">
        <is>
          <t>Chandigarh</t>
        </is>
      </c>
      <c r="F486" s="3" t="inlineStr">
        <is>
          <t>Sneha Reddy</t>
        </is>
      </c>
      <c r="G486" s="3" t="inlineStr">
        <is>
          <t>Furniture</t>
        </is>
      </c>
      <c r="H486" s="2" t="inlineStr">
        <is>
          <t>Desk</t>
        </is>
      </c>
      <c r="I486" s="2" t="n">
        <v>18</v>
      </c>
      <c r="J486" s="3" t="n">
        <v>452.09</v>
      </c>
      <c r="K486" s="3" t="n">
        <v>8137.62</v>
      </c>
      <c r="L486" s="3" t="n">
        <v>4475.69</v>
      </c>
      <c r="M486" s="2" t="n">
        <v>3661.93</v>
      </c>
      <c r="N486" s="2" t="inlineStr">
        <is>
          <t>Existing</t>
        </is>
      </c>
      <c r="O486" s="2" t="inlineStr">
        <is>
          <t>Offline</t>
        </is>
      </c>
      <c r="P486" s="3" t="n">
        <v>9045.139999999999</v>
      </c>
      <c r="Q486" s="3" t="n">
        <v>89.97</v>
      </c>
      <c r="R486" s="3" t="inlineStr"/>
    </row>
    <row r="487">
      <c r="A487" s="4" t="inlineStr">
        <is>
          <t>ORD-1486</t>
        </is>
      </c>
      <c r="B487" s="5" t="inlineStr">
        <is>
          <t>23-09-2024</t>
        </is>
      </c>
      <c r="C487" s="5" t="inlineStr">
        <is>
          <t>Sep-2024</t>
        </is>
      </c>
      <c r="D487" s="4" t="inlineStr">
        <is>
          <t>South</t>
        </is>
      </c>
      <c r="E487" s="4" t="inlineStr">
        <is>
          <t>Hyderabad</t>
        </is>
      </c>
      <c r="F487" s="5" t="inlineStr">
        <is>
          <t>Rahul Sharma</t>
        </is>
      </c>
      <c r="G487" s="5" t="inlineStr">
        <is>
          <t>Software</t>
        </is>
      </c>
      <c r="H487" s="4" t="inlineStr">
        <is>
          <t>ERP Suite</t>
        </is>
      </c>
      <c r="I487" s="4" t="n">
        <v>9</v>
      </c>
      <c r="J487" s="5" t="n">
        <v>4670.32</v>
      </c>
      <c r="K487" s="5" t="n">
        <v>42032.88</v>
      </c>
      <c r="L487" s="5" t="n">
        <v>12609.86</v>
      </c>
      <c r="M487" s="4" t="n">
        <v>29423.02</v>
      </c>
      <c r="N487" s="4" t="inlineStr">
        <is>
          <t>Existing</t>
        </is>
      </c>
      <c r="O487" s="4" t="inlineStr">
        <is>
          <t>Online</t>
        </is>
      </c>
      <c r="P487" s="5" t="n">
        <v>50212.24</v>
      </c>
      <c r="Q487" s="5" t="n">
        <v>83.70999999999999</v>
      </c>
      <c r="R487" s="5" t="inlineStr"/>
    </row>
    <row r="488">
      <c r="A488" s="2" t="inlineStr">
        <is>
          <t>ORD-1487</t>
        </is>
      </c>
      <c r="B488" s="3" t="inlineStr">
        <is>
          <t>24-09-2024</t>
        </is>
      </c>
      <c r="C488" s="3" t="inlineStr">
        <is>
          <t>Sep-2024</t>
        </is>
      </c>
      <c r="D488" s="2" t="inlineStr">
        <is>
          <t>East</t>
        </is>
      </c>
      <c r="E488" s="2" t="inlineStr">
        <is>
          <t>Kolkata</t>
        </is>
      </c>
      <c r="F488" s="3" t="inlineStr">
        <is>
          <t>Pooja Joshi</t>
        </is>
      </c>
      <c r="G488" s="3" t="inlineStr">
        <is>
          <t>Electronics</t>
        </is>
      </c>
      <c r="H488" s="2" t="inlineStr">
        <is>
          <t>Laptop</t>
        </is>
      </c>
      <c r="I488" s="2" t="n">
        <v>13</v>
      </c>
      <c r="J488" s="3" t="n">
        <v>1238.49</v>
      </c>
      <c r="K488" s="3" t="n">
        <v>16100.37</v>
      </c>
      <c r="L488" s="3" t="n">
        <v>9660.219999999999</v>
      </c>
      <c r="M488" s="2" t="n">
        <v>6440.15</v>
      </c>
      <c r="N488" s="2" t="inlineStr">
        <is>
          <t>Existing</t>
        </is>
      </c>
      <c r="O488" s="2" t="inlineStr">
        <is>
          <t>Online</t>
        </is>
      </c>
      <c r="P488" s="3" t="n">
        <v>13033.88</v>
      </c>
      <c r="Q488" s="3" t="n">
        <v>123.53</v>
      </c>
      <c r="R488" s="3" t="inlineStr"/>
    </row>
    <row r="489">
      <c r="A489" s="4" t="inlineStr">
        <is>
          <t>ORD-1488</t>
        </is>
      </c>
      <c r="B489" s="5" t="inlineStr">
        <is>
          <t>24-09-2024</t>
        </is>
      </c>
      <c r="C489" s="5" t="inlineStr">
        <is>
          <t>Sep-2024</t>
        </is>
      </c>
      <c r="D489" s="4" t="inlineStr">
        <is>
          <t>West</t>
        </is>
      </c>
      <c r="E489" s="4" t="inlineStr">
        <is>
          <t>Mumbai</t>
        </is>
      </c>
      <c r="F489" s="5" t="inlineStr">
        <is>
          <t>Amit Kumar</t>
        </is>
      </c>
      <c r="G489" s="5" t="inlineStr">
        <is>
          <t>Electronics</t>
        </is>
      </c>
      <c r="H489" s="4" t="inlineStr">
        <is>
          <t>Tablet</t>
        </is>
      </c>
      <c r="I489" s="4" t="n">
        <v>16</v>
      </c>
      <c r="J489" s="5" t="n">
        <v>644.01</v>
      </c>
      <c r="K489" s="5" t="n">
        <v>10304.16</v>
      </c>
      <c r="L489" s="5" t="n">
        <v>6182.5</v>
      </c>
      <c r="M489" s="4" t="n">
        <v>4121.66</v>
      </c>
      <c r="N489" s="4" t="inlineStr">
        <is>
          <t>New</t>
        </is>
      </c>
      <c r="O489" s="4" t="inlineStr">
        <is>
          <t>Online</t>
        </is>
      </c>
      <c r="P489" s="5" t="n">
        <v>9267.950000000001</v>
      </c>
      <c r="Q489" s="5" t="n">
        <v>111.18</v>
      </c>
      <c r="R489" s="5" t="inlineStr"/>
    </row>
    <row r="490">
      <c r="A490" s="2" t="inlineStr">
        <is>
          <t>ORD-1489</t>
        </is>
      </c>
      <c r="B490" s="3" t="inlineStr">
        <is>
          <t>24-09-2024</t>
        </is>
      </c>
      <c r="C490" s="3" t="inlineStr">
        <is>
          <t>Sep-2024</t>
        </is>
      </c>
      <c r="D490" s="2" t="inlineStr">
        <is>
          <t>West</t>
        </is>
      </c>
      <c r="E490" s="2" t="inlineStr">
        <is>
          <t>Pune</t>
        </is>
      </c>
      <c r="F490" s="3" t="inlineStr">
        <is>
          <t>Rahul Sharma</t>
        </is>
      </c>
      <c r="G490" s="3" t="inlineStr">
        <is>
          <t>Electronics</t>
        </is>
      </c>
      <c r="H490" s="2" t="inlineStr">
        <is>
          <t>Smartphone</t>
        </is>
      </c>
      <c r="I490" s="2" t="n">
        <v>17</v>
      </c>
      <c r="J490" s="3" t="n">
        <v>768.79</v>
      </c>
      <c r="K490" s="3" t="n">
        <v>13069.43</v>
      </c>
      <c r="L490" s="3" t="n">
        <v>7841.66</v>
      </c>
      <c r="M490" s="2" t="n">
        <v>5227.77</v>
      </c>
      <c r="N490" s="2" t="inlineStr">
        <is>
          <t>Existing</t>
        </is>
      </c>
      <c r="O490" s="2" t="inlineStr">
        <is>
          <t>Offline</t>
        </is>
      </c>
      <c r="P490" s="3" t="n">
        <v>15319.93</v>
      </c>
      <c r="Q490" s="3" t="n">
        <v>85.31</v>
      </c>
      <c r="R490" s="3" t="inlineStr"/>
    </row>
    <row r="491">
      <c r="A491" s="4" t="inlineStr">
        <is>
          <t>ORD-1490</t>
        </is>
      </c>
      <c r="B491" s="5" t="inlineStr">
        <is>
          <t>25-09-2024</t>
        </is>
      </c>
      <c r="C491" s="5" t="inlineStr">
        <is>
          <t>Sep-2024</t>
        </is>
      </c>
      <c r="D491" s="4" t="inlineStr">
        <is>
          <t>East</t>
        </is>
      </c>
      <c r="E491" s="4" t="inlineStr">
        <is>
          <t>Patna</t>
        </is>
      </c>
      <c r="F491" s="5" t="inlineStr">
        <is>
          <t>Deepa Nair</t>
        </is>
      </c>
      <c r="G491" s="5" t="inlineStr">
        <is>
          <t>Apparel</t>
        </is>
      </c>
      <c r="H491" s="4" t="inlineStr">
        <is>
          <t>T-Shirt</t>
        </is>
      </c>
      <c r="I491" s="4" t="n">
        <v>8</v>
      </c>
      <c r="J491" s="5" t="n">
        <v>43.97</v>
      </c>
      <c r="K491" s="5" t="n">
        <v>351.76</v>
      </c>
      <c r="L491" s="5" t="n">
        <v>158.29</v>
      </c>
      <c r="M491" s="4" t="n">
        <v>193.47</v>
      </c>
      <c r="N491" s="4" t="inlineStr">
        <is>
          <t>Existing</t>
        </is>
      </c>
      <c r="O491" s="4" t="inlineStr">
        <is>
          <t>Online</t>
        </is>
      </c>
      <c r="P491" s="5" t="n">
        <v>391.47</v>
      </c>
      <c r="Q491" s="5" t="n">
        <v>89.86</v>
      </c>
      <c r="R491" s="5" t="inlineStr"/>
    </row>
    <row r="492">
      <c r="A492" s="2" t="inlineStr">
        <is>
          <t>ORD-1491</t>
        </is>
      </c>
      <c r="B492" s="3" t="inlineStr">
        <is>
          <t>26-09-2024</t>
        </is>
      </c>
      <c r="C492" s="3" t="inlineStr">
        <is>
          <t>Sep-2024</t>
        </is>
      </c>
      <c r="D492" s="2" t="inlineStr">
        <is>
          <t>North</t>
        </is>
      </c>
      <c r="E492" s="2" t="inlineStr">
        <is>
          <t>Lucknow</t>
        </is>
      </c>
      <c r="F492" s="3" t="inlineStr">
        <is>
          <t>Vikram Singh</t>
        </is>
      </c>
      <c r="G492" s="3" t="inlineStr">
        <is>
          <t>Furniture</t>
        </is>
      </c>
      <c r="H492" s="2" t="inlineStr">
        <is>
          <t>Desk</t>
        </is>
      </c>
      <c r="I492" s="2" t="n">
        <v>11</v>
      </c>
      <c r="J492" s="3" t="n">
        <v>485.75</v>
      </c>
      <c r="K492" s="3" t="n">
        <v>5343.25</v>
      </c>
      <c r="L492" s="3" t="n">
        <v>2938.79</v>
      </c>
      <c r="M492" s="2" t="n">
        <v>2404.46</v>
      </c>
      <c r="N492" s="2" t="inlineStr">
        <is>
          <t>New</t>
        </is>
      </c>
      <c r="O492" s="2" t="inlineStr">
        <is>
          <t>Online</t>
        </is>
      </c>
      <c r="P492" s="3" t="n">
        <v>6224.59</v>
      </c>
      <c r="Q492" s="3" t="n">
        <v>85.84</v>
      </c>
      <c r="R492" s="3" t="inlineStr"/>
    </row>
    <row r="493">
      <c r="A493" s="4" t="inlineStr">
        <is>
          <t>ORD-1492</t>
        </is>
      </c>
      <c r="B493" s="5" t="inlineStr">
        <is>
          <t>26-09-2024</t>
        </is>
      </c>
      <c r="C493" s="5" t="inlineStr">
        <is>
          <t>Sep-2024</t>
        </is>
      </c>
      <c r="D493" s="4" t="inlineStr">
        <is>
          <t>South</t>
        </is>
      </c>
      <c r="E493" s="4" t="inlineStr">
        <is>
          <t>Bangalore</t>
        </is>
      </c>
      <c r="F493" s="5" t="inlineStr">
        <is>
          <t>Sneha Reddy</t>
        </is>
      </c>
      <c r="G493" s="5" t="inlineStr">
        <is>
          <t>Furniture</t>
        </is>
      </c>
      <c r="H493" s="4" t="inlineStr">
        <is>
          <t>Cabinet</t>
        </is>
      </c>
      <c r="I493" s="4" t="n">
        <v>10</v>
      </c>
      <c r="J493" s="5" t="n">
        <v>324.58</v>
      </c>
      <c r="K493" s="5" t="n">
        <v>3245.8</v>
      </c>
      <c r="L493" s="5" t="n">
        <v>1785.19</v>
      </c>
      <c r="M493" s="4" t="n">
        <v>1460.61</v>
      </c>
      <c r="N493" s="4" t="inlineStr">
        <is>
          <t>Existing</t>
        </is>
      </c>
      <c r="O493" s="4" t="inlineStr">
        <is>
          <t>Offline</t>
        </is>
      </c>
      <c r="P493" s="5" t="n">
        <v>3476.63</v>
      </c>
      <c r="Q493" s="5" t="n">
        <v>93.36</v>
      </c>
      <c r="R493" s="5" t="inlineStr"/>
    </row>
    <row r="494">
      <c r="A494" s="2" t="inlineStr">
        <is>
          <t>ORD-1493</t>
        </is>
      </c>
      <c r="B494" s="3" t="inlineStr">
        <is>
          <t>27-09-2024</t>
        </is>
      </c>
      <c r="C494" s="3" t="inlineStr">
        <is>
          <t>Sep-2024</t>
        </is>
      </c>
      <c r="D494" s="2" t="inlineStr">
        <is>
          <t>South</t>
        </is>
      </c>
      <c r="E494" s="2" t="inlineStr">
        <is>
          <t>Hyderabad</t>
        </is>
      </c>
      <c r="F494" s="3" t="inlineStr">
        <is>
          <t>Ravi Verma</t>
        </is>
      </c>
      <c r="G494" s="3" t="inlineStr">
        <is>
          <t>Furniture</t>
        </is>
      </c>
      <c r="H494" s="2" t="inlineStr">
        <is>
          <t>Desk</t>
        </is>
      </c>
      <c r="I494" s="2" t="n">
        <v>10</v>
      </c>
      <c r="J494" s="3" t="n">
        <v>466.97</v>
      </c>
      <c r="K494" s="3" t="n">
        <v>4669.7</v>
      </c>
      <c r="L494" s="3" t="n">
        <v>2568.34</v>
      </c>
      <c r="M494" s="2" t="n">
        <v>2101.36</v>
      </c>
      <c r="N494" s="2" t="inlineStr">
        <is>
          <t>New</t>
        </is>
      </c>
      <c r="O494" s="2" t="inlineStr">
        <is>
          <t>Offline</t>
        </is>
      </c>
      <c r="P494" s="3" t="n">
        <v>6060.54</v>
      </c>
      <c r="Q494" s="3" t="n">
        <v>77.05</v>
      </c>
      <c r="R494" s="3" t="inlineStr"/>
    </row>
    <row r="495">
      <c r="A495" s="4" t="inlineStr">
        <is>
          <t>ORD-1494</t>
        </is>
      </c>
      <c r="B495" s="5" t="inlineStr">
        <is>
          <t>28-09-2024</t>
        </is>
      </c>
      <c r="C495" s="5" t="inlineStr">
        <is>
          <t>Sep-2024</t>
        </is>
      </c>
      <c r="D495" s="4" t="inlineStr">
        <is>
          <t>South</t>
        </is>
      </c>
      <c r="E495" s="4" t="inlineStr">
        <is>
          <t>Bangalore</t>
        </is>
      </c>
      <c r="F495" s="5" t="inlineStr">
        <is>
          <t>Priya Patel</t>
        </is>
      </c>
      <c r="G495" s="5" t="inlineStr">
        <is>
          <t>Electronics</t>
        </is>
      </c>
      <c r="H495" s="4" t="inlineStr">
        <is>
          <t>Smartphone</t>
        </is>
      </c>
      <c r="I495" s="4" t="n">
        <v>11</v>
      </c>
      <c r="J495" s="5" t="n">
        <v>854.3200000000001</v>
      </c>
      <c r="K495" s="5" t="n">
        <v>9397.52</v>
      </c>
      <c r="L495" s="5" t="n">
        <v>5638.51</v>
      </c>
      <c r="M495" s="4" t="n">
        <v>3759.01</v>
      </c>
      <c r="N495" s="4" t="inlineStr">
        <is>
          <t>New</t>
        </is>
      </c>
      <c r="O495" s="4" t="inlineStr">
        <is>
          <t>Online</t>
        </is>
      </c>
      <c r="P495" s="5" t="n">
        <v>11114.61</v>
      </c>
      <c r="Q495" s="5" t="n">
        <v>84.55</v>
      </c>
      <c r="R495" s="5" t="inlineStr"/>
    </row>
    <row r="496">
      <c r="A496" s="2" t="inlineStr">
        <is>
          <t>ORD-1495</t>
        </is>
      </c>
      <c r="B496" s="3" t="inlineStr">
        <is>
          <t>29-09-2024</t>
        </is>
      </c>
      <c r="C496" s="3" t="inlineStr">
        <is>
          <t>Sep-2024</t>
        </is>
      </c>
      <c r="D496" s="2" t="inlineStr">
        <is>
          <t>West</t>
        </is>
      </c>
      <c r="E496" s="2" t="inlineStr">
        <is>
          <t>Ahmedabad</t>
        </is>
      </c>
      <c r="F496" s="3" t="inlineStr">
        <is>
          <t>Pooja Joshi</t>
        </is>
      </c>
      <c r="G496" s="3" t="inlineStr">
        <is>
          <t>Apparel</t>
        </is>
      </c>
      <c r="H496" s="2" t="inlineStr">
        <is>
          <t>Formal Shirt</t>
        </is>
      </c>
      <c r="I496" s="2" t="n">
        <v>7</v>
      </c>
      <c r="J496" s="3" t="n">
        <v>73.70999999999999</v>
      </c>
      <c r="K496" s="3" t="n">
        <v>515.97</v>
      </c>
      <c r="L496" s="3" t="n">
        <v>232.19</v>
      </c>
      <c r="M496" s="2" t="n">
        <v>283.78</v>
      </c>
      <c r="N496" s="2" t="inlineStr">
        <is>
          <t>New</t>
        </is>
      </c>
      <c r="O496" s="2" t="inlineStr">
        <is>
          <t>Online</t>
        </is>
      </c>
      <c r="P496" s="3" t="n">
        <v>609.48</v>
      </c>
      <c r="Q496" s="3" t="n">
        <v>84.66</v>
      </c>
      <c r="R496" s="3" t="inlineStr"/>
    </row>
    <row r="497">
      <c r="A497" s="4" t="inlineStr">
        <is>
          <t>ORD-1496</t>
        </is>
      </c>
      <c r="B497" s="5" t="inlineStr">
        <is>
          <t>30-09-2024</t>
        </is>
      </c>
      <c r="C497" s="5" t="inlineStr">
        <is>
          <t>Sep-2024</t>
        </is>
      </c>
      <c r="D497" s="4" t="inlineStr">
        <is>
          <t>East</t>
        </is>
      </c>
      <c r="E497" s="4" t="inlineStr">
        <is>
          <t>Patna</t>
        </is>
      </c>
      <c r="F497" s="5" t="inlineStr">
        <is>
          <t>Kavita Rao</t>
        </is>
      </c>
      <c r="G497" s="5" t="inlineStr">
        <is>
          <t>Furniture</t>
        </is>
      </c>
      <c r="H497" s="4" t="inlineStr">
        <is>
          <t>Desk</t>
        </is>
      </c>
      <c r="I497" s="4" t="n">
        <v>8</v>
      </c>
      <c r="J497" s="5" t="n">
        <v>466.86</v>
      </c>
      <c r="K497" s="5" t="n">
        <v>3734.88</v>
      </c>
      <c r="L497" s="5" t="n">
        <v>2054.18</v>
      </c>
      <c r="M497" s="4" t="n">
        <v>1680.7</v>
      </c>
      <c r="N497" s="4" t="inlineStr">
        <is>
          <t>Existing</t>
        </is>
      </c>
      <c r="O497" s="4" t="inlineStr">
        <is>
          <t>Online</t>
        </is>
      </c>
      <c r="P497" s="5" t="n">
        <v>4272.97</v>
      </c>
      <c r="Q497" s="5" t="n">
        <v>87.41</v>
      </c>
      <c r="R497" s="5" t="inlineStr"/>
    </row>
    <row r="498">
      <c r="A498" s="2" t="inlineStr">
        <is>
          <t>ORD-1497</t>
        </is>
      </c>
      <c r="B498" s="3" t="inlineStr">
        <is>
          <t>30-09-2024</t>
        </is>
      </c>
      <c r="C498" s="3" t="inlineStr">
        <is>
          <t>Sep-2024</t>
        </is>
      </c>
      <c r="D498" s="2" t="inlineStr">
        <is>
          <t>West</t>
        </is>
      </c>
      <c r="E498" s="2" t="inlineStr">
        <is>
          <t>Mumbai</t>
        </is>
      </c>
      <c r="F498" s="3" t="inlineStr">
        <is>
          <t>Ravi Verma</t>
        </is>
      </c>
      <c r="G498" s="3" t="inlineStr">
        <is>
          <t>Software</t>
        </is>
      </c>
      <c r="H498" s="2" t="inlineStr">
        <is>
          <t>Analytics Pro</t>
        </is>
      </c>
      <c r="I498" s="2" t="n">
        <v>6</v>
      </c>
      <c r="J498" s="3" t="n">
        <v>2676.06</v>
      </c>
      <c r="K498" s="3" t="n">
        <v>16056.36</v>
      </c>
      <c r="L498" s="3" t="n">
        <v>4816.91</v>
      </c>
      <c r="M498" s="2" t="n">
        <v>11239.45</v>
      </c>
      <c r="N498" s="2" t="inlineStr">
        <is>
          <t>Existing</t>
        </is>
      </c>
      <c r="O498" s="2" t="inlineStr">
        <is>
          <t>Offline</t>
        </is>
      </c>
      <c r="P498" s="3" t="n">
        <v>13949.06</v>
      </c>
      <c r="Q498" s="3" t="n">
        <v>115.11</v>
      </c>
      <c r="R498" s="3" t="inlineStr"/>
    </row>
    <row r="499">
      <c r="A499" s="4" t="inlineStr">
        <is>
          <t>ORD-1498</t>
        </is>
      </c>
      <c r="B499" s="5" t="inlineStr">
        <is>
          <t>30-09-2024</t>
        </is>
      </c>
      <c r="C499" s="5" t="inlineStr">
        <is>
          <t>Sep-2024</t>
        </is>
      </c>
      <c r="D499" s="4" t="inlineStr">
        <is>
          <t>South</t>
        </is>
      </c>
      <c r="E499" s="4" t="inlineStr">
        <is>
          <t>Chennai</t>
        </is>
      </c>
      <c r="F499" s="5" t="inlineStr">
        <is>
          <t>Rahul Sharma</t>
        </is>
      </c>
      <c r="G499" s="5" t="inlineStr">
        <is>
          <t>Software</t>
        </is>
      </c>
      <c r="H499" s="4" t="inlineStr">
        <is>
          <t>ERP Suite</t>
        </is>
      </c>
      <c r="I499" s="4" t="n">
        <v>9</v>
      </c>
      <c r="J499" s="5" t="n">
        <v>5450.2</v>
      </c>
      <c r="K499" s="5" t="n">
        <v>49051.8</v>
      </c>
      <c r="L499" s="5" t="n">
        <v>14715.54</v>
      </c>
      <c r="M499" s="4" t="n">
        <v>34336.26</v>
      </c>
      <c r="N499" s="4" t="inlineStr">
        <is>
          <t>New</t>
        </is>
      </c>
      <c r="O499" s="4" t="inlineStr">
        <is>
          <t>Online</t>
        </is>
      </c>
      <c r="P499" s="5" t="n">
        <v>57826.59</v>
      </c>
      <c r="Q499" s="5" t="n">
        <v>84.83</v>
      </c>
      <c r="R499" s="5" t="inlineStr"/>
    </row>
    <row r="500">
      <c r="A500" s="2" t="inlineStr">
        <is>
          <t>ORD-1499</t>
        </is>
      </c>
      <c r="B500" s="3" t="inlineStr">
        <is>
          <t>01-10-2024</t>
        </is>
      </c>
      <c r="C500" s="3" t="inlineStr">
        <is>
          <t>Oct-2024</t>
        </is>
      </c>
      <c r="D500" s="2" t="inlineStr">
        <is>
          <t>South</t>
        </is>
      </c>
      <c r="E500" s="2" t="inlineStr">
        <is>
          <t>Bangalore</t>
        </is>
      </c>
      <c r="F500" s="3" t="inlineStr">
        <is>
          <t>Kavita Rao</t>
        </is>
      </c>
      <c r="G500" s="3" t="inlineStr">
        <is>
          <t>Software</t>
        </is>
      </c>
      <c r="H500" s="2" t="inlineStr">
        <is>
          <t>Analytics Pro</t>
        </is>
      </c>
      <c r="I500" s="2" t="n">
        <v>15</v>
      </c>
      <c r="J500" s="3" t="n">
        <v>2693.79</v>
      </c>
      <c r="K500" s="3" t="n">
        <v>40406.85</v>
      </c>
      <c r="L500" s="3" t="n">
        <v>12122.05</v>
      </c>
      <c r="M500" s="2" t="n">
        <v>28284.8</v>
      </c>
      <c r="N500" s="2" t="inlineStr">
        <is>
          <t>Existing</t>
        </is>
      </c>
      <c r="O500" s="2" t="inlineStr">
        <is>
          <t>Offline</t>
        </is>
      </c>
      <c r="P500" s="3" t="n">
        <v>48007.68</v>
      </c>
      <c r="Q500" s="3" t="n">
        <v>84.17</v>
      </c>
      <c r="R500" s="3" t="inlineStr"/>
    </row>
    <row r="501">
      <c r="A501" s="4" t="inlineStr">
        <is>
          <t>ORD-1500</t>
        </is>
      </c>
      <c r="B501" s="5" t="inlineStr">
        <is>
          <t>02-10-2024</t>
        </is>
      </c>
      <c r="C501" s="5" t="inlineStr">
        <is>
          <t>Oct-2024</t>
        </is>
      </c>
      <c r="D501" s="4" t="inlineStr">
        <is>
          <t>West</t>
        </is>
      </c>
      <c r="E501" s="4" t="inlineStr">
        <is>
          <t>Pune</t>
        </is>
      </c>
      <c r="F501" s="5" t="inlineStr">
        <is>
          <t>Deepa Nair</t>
        </is>
      </c>
      <c r="G501" s="5" t="inlineStr">
        <is>
          <t>Software</t>
        </is>
      </c>
      <c r="H501" s="4" t="inlineStr">
        <is>
          <t>ERP Suite</t>
        </is>
      </c>
      <c r="I501" s="4" t="n">
        <v>17</v>
      </c>
      <c r="J501" s="5" t="n">
        <v>4609.32</v>
      </c>
      <c r="K501" s="5" t="n">
        <v>78358.44</v>
      </c>
      <c r="L501" s="5" t="n">
        <v>23507.53</v>
      </c>
      <c r="M501" s="4" t="n">
        <v>54850.91</v>
      </c>
      <c r="N501" s="4" t="inlineStr">
        <is>
          <t>Existing</t>
        </is>
      </c>
      <c r="O501" s="4" t="inlineStr">
        <is>
          <t>Online</t>
        </is>
      </c>
      <c r="P501" s="5" t="n">
        <v>97077.49000000001</v>
      </c>
      <c r="Q501" s="5" t="n">
        <v>80.72</v>
      </c>
      <c r="R501" s="5" t="inlineStr"/>
    </row>
    <row r="502">
      <c r="A502" s="2" t="inlineStr">
        <is>
          <t>ORD-1501</t>
        </is>
      </c>
      <c r="B502" s="3" t="inlineStr">
        <is>
          <t>02-10-2024</t>
        </is>
      </c>
      <c r="C502" s="3" t="inlineStr">
        <is>
          <t>Oct-2024</t>
        </is>
      </c>
      <c r="D502" s="2" t="inlineStr">
        <is>
          <t>South</t>
        </is>
      </c>
      <c r="E502" s="2" t="inlineStr">
        <is>
          <t>Hyderabad</t>
        </is>
      </c>
      <c r="F502" s="3" t="inlineStr">
        <is>
          <t>Ravi Verma</t>
        </is>
      </c>
      <c r="G502" s="3" t="inlineStr">
        <is>
          <t>Software</t>
        </is>
      </c>
      <c r="H502" s="2" t="inlineStr">
        <is>
          <t>ERP Suite</t>
        </is>
      </c>
      <c r="I502" s="2" t="n">
        <v>18</v>
      </c>
      <c r="J502" s="3" t="n">
        <v>4887.4</v>
      </c>
      <c r="K502" s="3" t="n">
        <v>87973.2</v>
      </c>
      <c r="L502" s="3" t="n">
        <v>26391.96</v>
      </c>
      <c r="M502" s="2" t="n">
        <v>61581.24</v>
      </c>
      <c r="N502" s="2" t="inlineStr">
        <is>
          <t>New</t>
        </is>
      </c>
      <c r="O502" s="2" t="inlineStr">
        <is>
          <t>Online</t>
        </is>
      </c>
      <c r="P502" s="3" t="n">
        <v>83186.55</v>
      </c>
      <c r="Q502" s="3" t="n">
        <v>105.75</v>
      </c>
      <c r="R502" s="3" t="inlineStr"/>
    </row>
    <row r="503">
      <c r="A503" s="4" t="inlineStr">
        <is>
          <t>ORD-1502</t>
        </is>
      </c>
      <c r="B503" s="5" t="inlineStr">
        <is>
          <t>02-10-2024</t>
        </is>
      </c>
      <c r="C503" s="5" t="inlineStr">
        <is>
          <t>Oct-2024</t>
        </is>
      </c>
      <c r="D503" s="4" t="inlineStr">
        <is>
          <t>West</t>
        </is>
      </c>
      <c r="E503" s="4" t="inlineStr">
        <is>
          <t>Ahmedabad</t>
        </is>
      </c>
      <c r="F503" s="5" t="inlineStr">
        <is>
          <t>Vikram Singh</t>
        </is>
      </c>
      <c r="G503" s="5" t="inlineStr">
        <is>
          <t>Software</t>
        </is>
      </c>
      <c r="H503" s="4" t="inlineStr">
        <is>
          <t>CRM Tool</t>
        </is>
      </c>
      <c r="I503" s="4" t="n">
        <v>14</v>
      </c>
      <c r="J503" s="5" t="n">
        <v>2876.65</v>
      </c>
      <c r="K503" s="5" t="n">
        <v>40273.1</v>
      </c>
      <c r="L503" s="5" t="n">
        <v>12081.93</v>
      </c>
      <c r="M503" s="4" t="n">
        <v>28191.17</v>
      </c>
      <c r="N503" s="4" t="inlineStr">
        <is>
          <t>New</t>
        </is>
      </c>
      <c r="O503" s="4" t="inlineStr">
        <is>
          <t>Online</t>
        </is>
      </c>
      <c r="P503" s="5" t="n">
        <v>41553.36</v>
      </c>
      <c r="Q503" s="5" t="n">
        <v>96.92</v>
      </c>
      <c r="R503" s="5" t="inlineStr"/>
    </row>
    <row r="504">
      <c r="A504" s="2" t="inlineStr">
        <is>
          <t>ORD-1503</t>
        </is>
      </c>
      <c r="B504" s="3" t="inlineStr">
        <is>
          <t>03-10-2024</t>
        </is>
      </c>
      <c r="C504" s="3" t="inlineStr">
        <is>
          <t>Oct-2024</t>
        </is>
      </c>
      <c r="D504" s="2" t="inlineStr">
        <is>
          <t>West</t>
        </is>
      </c>
      <c r="E504" s="2" t="inlineStr">
        <is>
          <t>Mumbai</t>
        </is>
      </c>
      <c r="F504" s="3" t="inlineStr">
        <is>
          <t>Ravi Verma</t>
        </is>
      </c>
      <c r="G504" s="3" t="inlineStr">
        <is>
          <t>Electronics</t>
        </is>
      </c>
      <c r="H504" s="2" t="inlineStr">
        <is>
          <t>Smartphone</t>
        </is>
      </c>
      <c r="I504" s="2" t="n">
        <v>19</v>
      </c>
      <c r="J504" s="3" t="n">
        <v>870.05</v>
      </c>
      <c r="K504" s="3" t="n">
        <v>16530.95</v>
      </c>
      <c r="L504" s="3" t="n">
        <v>9918.57</v>
      </c>
      <c r="M504" s="2" t="n">
        <v>6612.38</v>
      </c>
      <c r="N504" s="2" t="inlineStr">
        <is>
          <t>New</t>
        </is>
      </c>
      <c r="O504" s="2" t="inlineStr">
        <is>
          <t>Offline</t>
        </is>
      </c>
      <c r="P504" s="3" t="n">
        <v>16643.02</v>
      </c>
      <c r="Q504" s="3" t="n">
        <v>99.33</v>
      </c>
      <c r="R504" s="3" t="inlineStr"/>
    </row>
    <row r="505">
      <c r="A505" s="4" t="inlineStr">
        <is>
          <t>ORD-1504</t>
        </is>
      </c>
      <c r="B505" s="5" t="inlineStr">
        <is>
          <t>03-10-2024</t>
        </is>
      </c>
      <c r="C505" s="5" t="inlineStr">
        <is>
          <t>Oct-2024</t>
        </is>
      </c>
      <c r="D505" s="4" t="inlineStr">
        <is>
          <t>West</t>
        </is>
      </c>
      <c r="E505" s="4" t="inlineStr">
        <is>
          <t>Mumbai</t>
        </is>
      </c>
      <c r="F505" s="5" t="inlineStr">
        <is>
          <t>Arjun Mehta</t>
        </is>
      </c>
      <c r="G505" s="5" t="inlineStr">
        <is>
          <t>Software</t>
        </is>
      </c>
      <c r="H505" s="4" t="inlineStr">
        <is>
          <t>CRM Tool</t>
        </is>
      </c>
      <c r="I505" s="4" t="n">
        <v>15</v>
      </c>
      <c r="J505" s="5" t="n">
        <v>2754.11</v>
      </c>
      <c r="K505" s="5" t="n">
        <v>41311.65</v>
      </c>
      <c r="L505" s="5" t="n">
        <v>12393.5</v>
      </c>
      <c r="M505" s="4" t="n">
        <v>28918.15</v>
      </c>
      <c r="N505" s="4" t="inlineStr">
        <is>
          <t>Existing</t>
        </is>
      </c>
      <c r="O505" s="4" t="inlineStr">
        <is>
          <t>Online</t>
        </is>
      </c>
      <c r="P505" s="5" t="n">
        <v>47887.94</v>
      </c>
      <c r="Q505" s="5" t="n">
        <v>86.27</v>
      </c>
      <c r="R505" s="5" t="inlineStr"/>
    </row>
    <row r="506">
      <c r="A506" s="2" t="inlineStr">
        <is>
          <t>ORD-1505</t>
        </is>
      </c>
      <c r="B506" s="3" t="inlineStr">
        <is>
          <t>03-10-2024</t>
        </is>
      </c>
      <c r="C506" s="3" t="inlineStr">
        <is>
          <t>Oct-2024</t>
        </is>
      </c>
      <c r="D506" s="2" t="inlineStr">
        <is>
          <t>North</t>
        </is>
      </c>
      <c r="E506" s="2" t="inlineStr">
        <is>
          <t>Delhi</t>
        </is>
      </c>
      <c r="F506" s="3" t="inlineStr">
        <is>
          <t>Priya Patel</t>
        </is>
      </c>
      <c r="G506" s="3" t="inlineStr">
        <is>
          <t>Software</t>
        </is>
      </c>
      <c r="H506" s="2" t="inlineStr">
        <is>
          <t>Analytics Pro</t>
        </is>
      </c>
      <c r="I506" s="2" t="n">
        <v>3</v>
      </c>
      <c r="J506" s="3" t="n">
        <v>2511.91</v>
      </c>
      <c r="K506" s="3" t="n">
        <v>7535.73</v>
      </c>
      <c r="L506" s="3" t="n">
        <v>2260.72</v>
      </c>
      <c r="M506" s="2" t="n">
        <v>5275.01</v>
      </c>
      <c r="N506" s="2" t="inlineStr">
        <is>
          <t>Existing</t>
        </is>
      </c>
      <c r="O506" s="2" t="inlineStr">
        <is>
          <t>Online</t>
        </is>
      </c>
      <c r="P506" s="3" t="n">
        <v>7455.39</v>
      </c>
      <c r="Q506" s="3" t="n">
        <v>101.08</v>
      </c>
      <c r="R506" s="3" t="inlineStr"/>
    </row>
    <row r="507">
      <c r="A507" s="4" t="inlineStr">
        <is>
          <t>ORD-1506</t>
        </is>
      </c>
      <c r="B507" s="5" t="inlineStr">
        <is>
          <t>04-10-2024</t>
        </is>
      </c>
      <c r="C507" s="5" t="inlineStr">
        <is>
          <t>Oct-2024</t>
        </is>
      </c>
      <c r="D507" s="4" t="inlineStr">
        <is>
          <t>North</t>
        </is>
      </c>
      <c r="E507" s="4" t="inlineStr">
        <is>
          <t>Delhi</t>
        </is>
      </c>
      <c r="F507" s="5" t="inlineStr">
        <is>
          <t>Deepa Nair</t>
        </is>
      </c>
      <c r="G507" s="5" t="inlineStr">
        <is>
          <t>Furniture</t>
        </is>
      </c>
      <c r="H507" s="4" t="inlineStr">
        <is>
          <t>Desk</t>
        </is>
      </c>
      <c r="I507" s="4" t="n">
        <v>5</v>
      </c>
      <c r="J507" s="5" t="n">
        <v>421.1</v>
      </c>
      <c r="K507" s="5" t="n">
        <v>2105.5</v>
      </c>
      <c r="L507" s="5" t="n">
        <v>1158.03</v>
      </c>
      <c r="M507" s="4" t="n">
        <v>947.47</v>
      </c>
      <c r="N507" s="4" t="inlineStr">
        <is>
          <t>New</t>
        </is>
      </c>
      <c r="O507" s="4" t="inlineStr">
        <is>
          <t>Offline</t>
        </is>
      </c>
      <c r="P507" s="5" t="n">
        <v>2008.71</v>
      </c>
      <c r="Q507" s="5" t="n">
        <v>104.82</v>
      </c>
      <c r="R507" s="5" t="inlineStr"/>
    </row>
    <row r="508">
      <c r="A508" s="2" t="inlineStr">
        <is>
          <t>ORD-1507</t>
        </is>
      </c>
      <c r="B508" s="3" t="inlineStr">
        <is>
          <t>04-10-2024</t>
        </is>
      </c>
      <c r="C508" s="3" t="inlineStr">
        <is>
          <t>Oct-2024</t>
        </is>
      </c>
      <c r="D508" s="2" t="inlineStr">
        <is>
          <t>West</t>
        </is>
      </c>
      <c r="E508" s="2" t="inlineStr">
        <is>
          <t>Ahmedabad</t>
        </is>
      </c>
      <c r="F508" s="3" t="inlineStr">
        <is>
          <t>Arjun Mehta</t>
        </is>
      </c>
      <c r="G508" s="3" t="inlineStr">
        <is>
          <t>Electronics</t>
        </is>
      </c>
      <c r="H508" s="2" t="inlineStr">
        <is>
          <t>Smartphone</t>
        </is>
      </c>
      <c r="I508" s="2" t="n">
        <v>7</v>
      </c>
      <c r="J508" s="3" t="n">
        <v>720.5700000000001</v>
      </c>
      <c r="K508" s="3" t="n">
        <v>5043.99</v>
      </c>
      <c r="L508" s="3" t="n">
        <v>3026.39</v>
      </c>
      <c r="M508" s="2" t="n">
        <v>2017.6</v>
      </c>
      <c r="N508" s="2" t="inlineStr">
        <is>
          <t>Existing</t>
        </is>
      </c>
      <c r="O508" s="2" t="inlineStr">
        <is>
          <t>Online</t>
        </is>
      </c>
      <c r="P508" s="3" t="n">
        <v>5191.89</v>
      </c>
      <c r="Q508" s="3" t="n">
        <v>97.15000000000001</v>
      </c>
      <c r="R508" s="3" t="inlineStr"/>
    </row>
    <row r="509">
      <c r="A509" s="4" t="inlineStr">
        <is>
          <t>ORD-1508</t>
        </is>
      </c>
      <c r="B509" s="5" t="inlineStr">
        <is>
          <t>05-10-2024</t>
        </is>
      </c>
      <c r="C509" s="5" t="inlineStr">
        <is>
          <t>Oct-2024</t>
        </is>
      </c>
      <c r="D509" s="4" t="inlineStr">
        <is>
          <t>North</t>
        </is>
      </c>
      <c r="E509" s="4" t="inlineStr">
        <is>
          <t>Lucknow</t>
        </is>
      </c>
      <c r="F509" s="5" t="inlineStr">
        <is>
          <t>Pooja Joshi</t>
        </is>
      </c>
      <c r="G509" s="5" t="inlineStr">
        <is>
          <t>Furniture</t>
        </is>
      </c>
      <c r="H509" s="4" t="inlineStr">
        <is>
          <t>Desk</t>
        </is>
      </c>
      <c r="I509" s="4" t="n">
        <v>19</v>
      </c>
      <c r="J509" s="5" t="n">
        <v>464.35</v>
      </c>
      <c r="K509" s="5" t="n">
        <v>8822.65</v>
      </c>
      <c r="L509" s="5" t="n">
        <v>4852.46</v>
      </c>
      <c r="M509" s="4" t="n">
        <v>3970.19</v>
      </c>
      <c r="N509" s="4" t="inlineStr">
        <is>
          <t>Existing</t>
        </is>
      </c>
      <c r="O509" s="4" t="inlineStr">
        <is>
          <t>Offline</t>
        </is>
      </c>
      <c r="P509" s="5" t="n">
        <v>9007.379999999999</v>
      </c>
      <c r="Q509" s="5" t="n">
        <v>97.95</v>
      </c>
      <c r="R509" s="5" t="inlineStr"/>
    </row>
    <row r="510">
      <c r="A510" s="2" t="inlineStr">
        <is>
          <t>ORD-1509</t>
        </is>
      </c>
      <c r="B510" s="3" t="inlineStr">
        <is>
          <t>05-10-2024</t>
        </is>
      </c>
      <c r="C510" s="3" t="inlineStr">
        <is>
          <t>Oct-2024</t>
        </is>
      </c>
      <c r="D510" s="2" t="inlineStr">
        <is>
          <t>North</t>
        </is>
      </c>
      <c r="E510" s="2" t="inlineStr">
        <is>
          <t>Delhi</t>
        </is>
      </c>
      <c r="F510" s="3" t="inlineStr">
        <is>
          <t>Ravi Verma</t>
        </is>
      </c>
      <c r="G510" s="3" t="inlineStr">
        <is>
          <t>Apparel</t>
        </is>
      </c>
      <c r="H510" s="2" t="inlineStr">
        <is>
          <t>Formal Shirt</t>
        </is>
      </c>
      <c r="I510" s="2" t="n">
        <v>2</v>
      </c>
      <c r="J510" s="3" t="n">
        <v>74.95999999999999</v>
      </c>
      <c r="K510" s="3" t="n">
        <v>149.92</v>
      </c>
      <c r="L510" s="3" t="n">
        <v>67.45999999999999</v>
      </c>
      <c r="M510" s="2" t="n">
        <v>82.45999999999999</v>
      </c>
      <c r="N510" s="2" t="inlineStr">
        <is>
          <t>New</t>
        </is>
      </c>
      <c r="O510" s="2" t="inlineStr">
        <is>
          <t>Offline</t>
        </is>
      </c>
      <c r="P510" s="3" t="n">
        <v>122.69</v>
      </c>
      <c r="Q510" s="3" t="n">
        <v>122.19</v>
      </c>
      <c r="R510" s="3" t="inlineStr"/>
    </row>
    <row r="511">
      <c r="A511" s="4" t="inlineStr">
        <is>
          <t>ORD-1510</t>
        </is>
      </c>
      <c r="B511" s="5" t="inlineStr">
        <is>
          <t>07-10-2024</t>
        </is>
      </c>
      <c r="C511" s="5" t="inlineStr">
        <is>
          <t>Oct-2024</t>
        </is>
      </c>
      <c r="D511" s="4" t="inlineStr">
        <is>
          <t>East</t>
        </is>
      </c>
      <c r="E511" s="4" t="inlineStr">
        <is>
          <t>Bhubaneswar</t>
        </is>
      </c>
      <c r="F511" s="5" t="inlineStr">
        <is>
          <t>Priya Patel</t>
        </is>
      </c>
      <c r="G511" s="5" t="inlineStr">
        <is>
          <t>Electronics</t>
        </is>
      </c>
      <c r="H511" s="4" t="inlineStr">
        <is>
          <t>Laptop</t>
        </is>
      </c>
      <c r="I511" s="4" t="n">
        <v>14</v>
      </c>
      <c r="J511" s="5" t="n">
        <v>1318.5</v>
      </c>
      <c r="K511" s="5" t="n">
        <v>18459</v>
      </c>
      <c r="L511" s="5" t="n">
        <v>11075.4</v>
      </c>
      <c r="M511" s="4" t="n">
        <v>7383.6</v>
      </c>
      <c r="N511" s="4" t="inlineStr">
        <is>
          <t>New</t>
        </is>
      </c>
      <c r="O511" s="4" t="inlineStr">
        <is>
          <t>Offline</t>
        </is>
      </c>
      <c r="P511" s="5" t="n">
        <v>20407.25</v>
      </c>
      <c r="Q511" s="5" t="n">
        <v>90.45</v>
      </c>
      <c r="R511" s="5" t="inlineStr"/>
    </row>
    <row r="512">
      <c r="A512" s="2" t="inlineStr">
        <is>
          <t>ORD-1511</t>
        </is>
      </c>
      <c r="B512" s="3" t="inlineStr">
        <is>
          <t>07-10-2024</t>
        </is>
      </c>
      <c r="C512" s="3" t="inlineStr">
        <is>
          <t>Oct-2024</t>
        </is>
      </c>
      <c r="D512" s="2" t="inlineStr">
        <is>
          <t>South</t>
        </is>
      </c>
      <c r="E512" s="2" t="inlineStr">
        <is>
          <t>Bangalore</t>
        </is>
      </c>
      <c r="F512" s="3" t="inlineStr">
        <is>
          <t>Kavita Rao</t>
        </is>
      </c>
      <c r="G512" s="3" t="inlineStr">
        <is>
          <t>Apparel</t>
        </is>
      </c>
      <c r="H512" s="2" t="inlineStr">
        <is>
          <t>Jacket</t>
        </is>
      </c>
      <c r="I512" s="2" t="n">
        <v>3</v>
      </c>
      <c r="J512" s="3" t="n">
        <v>126.44</v>
      </c>
      <c r="K512" s="3" t="n">
        <v>379.32</v>
      </c>
      <c r="L512" s="3" t="n">
        <v>170.69</v>
      </c>
      <c r="M512" s="2" t="n">
        <v>208.63</v>
      </c>
      <c r="N512" s="2" t="inlineStr">
        <is>
          <t>Existing</t>
        </is>
      </c>
      <c r="O512" s="2" t="inlineStr">
        <is>
          <t>Offline</t>
        </is>
      </c>
      <c r="P512" s="3" t="n">
        <v>473.68</v>
      </c>
      <c r="Q512" s="3" t="n">
        <v>80.08</v>
      </c>
      <c r="R512" s="3" t="inlineStr"/>
    </row>
    <row r="513">
      <c r="A513" s="4" t="inlineStr">
        <is>
          <t>ORD-1512</t>
        </is>
      </c>
      <c r="B513" s="5" t="inlineStr">
        <is>
          <t>07-10-2024</t>
        </is>
      </c>
      <c r="C513" s="5" t="inlineStr">
        <is>
          <t>Oct-2024</t>
        </is>
      </c>
      <c r="D513" s="4" t="inlineStr">
        <is>
          <t>North</t>
        </is>
      </c>
      <c r="E513" s="4" t="inlineStr">
        <is>
          <t>Chandigarh</t>
        </is>
      </c>
      <c r="F513" s="5" t="inlineStr">
        <is>
          <t>Ravi Verma</t>
        </is>
      </c>
      <c r="G513" s="5" t="inlineStr">
        <is>
          <t>Electronics</t>
        </is>
      </c>
      <c r="H513" s="4" t="inlineStr">
        <is>
          <t>Tablet</t>
        </is>
      </c>
      <c r="I513" s="4" t="n">
        <v>16</v>
      </c>
      <c r="J513" s="5" t="n">
        <v>556.15</v>
      </c>
      <c r="K513" s="5" t="n">
        <v>8898.4</v>
      </c>
      <c r="L513" s="5" t="n">
        <v>5339.04</v>
      </c>
      <c r="M513" s="4" t="n">
        <v>3559.36</v>
      </c>
      <c r="N513" s="4" t="inlineStr">
        <is>
          <t>Existing</t>
        </is>
      </c>
      <c r="O513" s="4" t="inlineStr">
        <is>
          <t>Offline</t>
        </is>
      </c>
      <c r="P513" s="5" t="n">
        <v>9463.68</v>
      </c>
      <c r="Q513" s="5" t="n">
        <v>94.03</v>
      </c>
      <c r="R513" s="5" t="inlineStr"/>
    </row>
    <row r="514">
      <c r="A514" s="2" t="inlineStr">
        <is>
          <t>ORD-1513</t>
        </is>
      </c>
      <c r="B514" s="3" t="inlineStr">
        <is>
          <t>08-10-2024</t>
        </is>
      </c>
      <c r="C514" s="3" t="inlineStr">
        <is>
          <t>Oct-2024</t>
        </is>
      </c>
      <c r="D514" s="2" t="inlineStr">
        <is>
          <t>South</t>
        </is>
      </c>
      <c r="E514" s="2" t="inlineStr">
        <is>
          <t>Hyderabad</t>
        </is>
      </c>
      <c r="F514" s="3" t="inlineStr">
        <is>
          <t>Sneha Reddy</t>
        </is>
      </c>
      <c r="G514" s="3" t="inlineStr">
        <is>
          <t>Electronics</t>
        </is>
      </c>
      <c r="H514" s="2" t="inlineStr">
        <is>
          <t>Laptop</t>
        </is>
      </c>
      <c r="I514" s="2" t="n">
        <v>19</v>
      </c>
      <c r="J514" s="3" t="n">
        <v>1255.13</v>
      </c>
      <c r="K514" s="3" t="n">
        <v>23847.47</v>
      </c>
      <c r="L514" s="3" t="n">
        <v>14308.48</v>
      </c>
      <c r="M514" s="2" t="n">
        <v>9538.99</v>
      </c>
      <c r="N514" s="2" t="inlineStr">
        <is>
          <t>New</t>
        </is>
      </c>
      <c r="O514" s="2" t="inlineStr">
        <is>
          <t>Offline</t>
        </is>
      </c>
      <c r="P514" s="3" t="n">
        <v>27711.64</v>
      </c>
      <c r="Q514" s="3" t="n">
        <v>86.06</v>
      </c>
      <c r="R514" s="3" t="inlineStr"/>
    </row>
    <row r="515">
      <c r="A515" s="4" t="inlineStr">
        <is>
          <t>ORD-1514</t>
        </is>
      </c>
      <c r="B515" s="5" t="inlineStr">
        <is>
          <t>08-10-2024</t>
        </is>
      </c>
      <c r="C515" s="5" t="inlineStr">
        <is>
          <t>Oct-2024</t>
        </is>
      </c>
      <c r="D515" s="4" t="inlineStr">
        <is>
          <t>East</t>
        </is>
      </c>
      <c r="E515" s="4" t="inlineStr">
        <is>
          <t>Bhubaneswar</t>
        </is>
      </c>
      <c r="F515" s="5" t="inlineStr">
        <is>
          <t>Kavita Rao</t>
        </is>
      </c>
      <c r="G515" s="5" t="inlineStr">
        <is>
          <t>Apparel</t>
        </is>
      </c>
      <c r="H515" s="4" t="inlineStr">
        <is>
          <t>T-Shirt</t>
        </is>
      </c>
      <c r="I515" s="4" t="n">
        <v>17</v>
      </c>
      <c r="J515" s="5" t="n">
        <v>40.6</v>
      </c>
      <c r="K515" s="5" t="n">
        <v>690.2</v>
      </c>
      <c r="L515" s="5" t="n">
        <v>310.59</v>
      </c>
      <c r="M515" s="4" t="n">
        <v>379.61</v>
      </c>
      <c r="N515" s="4" t="inlineStr">
        <is>
          <t>Existing</t>
        </is>
      </c>
      <c r="O515" s="4" t="inlineStr">
        <is>
          <t>Online</t>
        </is>
      </c>
      <c r="P515" s="5" t="n">
        <v>764.15</v>
      </c>
      <c r="Q515" s="5" t="n">
        <v>90.31999999999999</v>
      </c>
      <c r="R515" s="5" t="inlineStr"/>
    </row>
    <row r="516">
      <c r="A516" s="2" t="inlineStr">
        <is>
          <t>ORD-1515</t>
        </is>
      </c>
      <c r="B516" s="3" t="inlineStr">
        <is>
          <t>08-10-2024</t>
        </is>
      </c>
      <c r="C516" s="3" t="inlineStr">
        <is>
          <t>Oct-2024</t>
        </is>
      </c>
      <c r="D516" s="2" t="inlineStr">
        <is>
          <t>West</t>
        </is>
      </c>
      <c r="E516" s="2" t="inlineStr">
        <is>
          <t>Pune</t>
        </is>
      </c>
      <c r="F516" s="3" t="inlineStr">
        <is>
          <t>Pooja Joshi</t>
        </is>
      </c>
      <c r="G516" s="3" t="inlineStr">
        <is>
          <t>Software</t>
        </is>
      </c>
      <c r="H516" s="2" t="inlineStr">
        <is>
          <t>CRM Tool</t>
        </is>
      </c>
      <c r="I516" s="2" t="n">
        <v>20</v>
      </c>
      <c r="J516" s="3" t="n">
        <v>2839.63</v>
      </c>
      <c r="K516" s="3" t="n">
        <v>56792.6</v>
      </c>
      <c r="L516" s="3" t="n">
        <v>17037.78</v>
      </c>
      <c r="M516" s="2" t="n">
        <v>39754.82</v>
      </c>
      <c r="N516" s="2" t="inlineStr">
        <is>
          <t>Existing</t>
        </is>
      </c>
      <c r="O516" s="2" t="inlineStr">
        <is>
          <t>Online</t>
        </is>
      </c>
      <c r="P516" s="3" t="n">
        <v>45478.97</v>
      </c>
      <c r="Q516" s="3" t="n">
        <v>124.88</v>
      </c>
      <c r="R516" s="3" t="inlineStr"/>
    </row>
    <row r="517">
      <c r="A517" s="4" t="inlineStr">
        <is>
          <t>ORD-1516</t>
        </is>
      </c>
      <c r="B517" s="5" t="inlineStr">
        <is>
          <t>09-10-2024</t>
        </is>
      </c>
      <c r="C517" s="5" t="inlineStr">
        <is>
          <t>Oct-2024</t>
        </is>
      </c>
      <c r="D517" s="4" t="inlineStr">
        <is>
          <t>West</t>
        </is>
      </c>
      <c r="E517" s="4" t="inlineStr">
        <is>
          <t>Pune</t>
        </is>
      </c>
      <c r="F517" s="5" t="inlineStr">
        <is>
          <t>Priya Patel</t>
        </is>
      </c>
      <c r="G517" s="5" t="inlineStr">
        <is>
          <t>Furniture</t>
        </is>
      </c>
      <c r="H517" s="4" t="inlineStr">
        <is>
          <t>Cabinet</t>
        </is>
      </c>
      <c r="I517" s="4" t="n">
        <v>14</v>
      </c>
      <c r="J517" s="5" t="n">
        <v>272.73</v>
      </c>
      <c r="K517" s="5" t="n">
        <v>3818.22</v>
      </c>
      <c r="L517" s="5" t="n">
        <v>2100.02</v>
      </c>
      <c r="M517" s="4" t="n">
        <v>1718.2</v>
      </c>
      <c r="N517" s="4" t="inlineStr">
        <is>
          <t>Existing</t>
        </is>
      </c>
      <c r="O517" s="4" t="inlineStr">
        <is>
          <t>Online</t>
        </is>
      </c>
      <c r="P517" s="5" t="n">
        <v>3076.14</v>
      </c>
      <c r="Q517" s="5" t="n">
        <v>124.12</v>
      </c>
      <c r="R517" s="5" t="inlineStr"/>
    </row>
    <row r="518">
      <c r="A518" s="2" t="inlineStr">
        <is>
          <t>ORD-1517</t>
        </is>
      </c>
      <c r="B518" s="3" t="inlineStr">
        <is>
          <t>10-10-2024</t>
        </is>
      </c>
      <c r="C518" s="3" t="inlineStr">
        <is>
          <t>Oct-2024</t>
        </is>
      </c>
      <c r="D518" s="2" t="inlineStr">
        <is>
          <t>East</t>
        </is>
      </c>
      <c r="E518" s="2" t="inlineStr">
        <is>
          <t>Bhubaneswar</t>
        </is>
      </c>
      <c r="F518" s="3" t="inlineStr">
        <is>
          <t>Priya Patel</t>
        </is>
      </c>
      <c r="G518" s="3" t="inlineStr">
        <is>
          <t>Apparel</t>
        </is>
      </c>
      <c r="H518" s="2" t="inlineStr">
        <is>
          <t>T-Shirt</t>
        </is>
      </c>
      <c r="I518" s="2" t="n">
        <v>17</v>
      </c>
      <c r="J518" s="3" t="n">
        <v>40.4</v>
      </c>
      <c r="K518" s="3" t="n">
        <v>686.8</v>
      </c>
      <c r="L518" s="3" t="n">
        <v>309.06</v>
      </c>
      <c r="M518" s="2" t="n">
        <v>377.74</v>
      </c>
      <c r="N518" s="2" t="inlineStr">
        <is>
          <t>New</t>
        </is>
      </c>
      <c r="O518" s="2" t="inlineStr">
        <is>
          <t>Online</t>
        </is>
      </c>
      <c r="P518" s="3" t="n">
        <v>784.96</v>
      </c>
      <c r="Q518" s="3" t="n">
        <v>87.48999999999999</v>
      </c>
      <c r="R518" s="3" t="inlineStr"/>
    </row>
    <row r="519">
      <c r="A519" s="4" t="inlineStr">
        <is>
          <t>ORD-1518</t>
        </is>
      </c>
      <c r="B519" s="5" t="inlineStr">
        <is>
          <t>11-10-2024</t>
        </is>
      </c>
      <c r="C519" s="5" t="inlineStr">
        <is>
          <t>Oct-2024</t>
        </is>
      </c>
      <c r="D519" s="4" t="inlineStr">
        <is>
          <t>West</t>
        </is>
      </c>
      <c r="E519" s="4" t="inlineStr">
        <is>
          <t>Pune</t>
        </is>
      </c>
      <c r="F519" s="5" t="inlineStr">
        <is>
          <t>Kavita Rao</t>
        </is>
      </c>
      <c r="G519" s="5" t="inlineStr">
        <is>
          <t>Electronics</t>
        </is>
      </c>
      <c r="H519" s="4" t="inlineStr">
        <is>
          <t>Smartphone</t>
        </is>
      </c>
      <c r="I519" s="4" t="n">
        <v>7</v>
      </c>
      <c r="J519" s="5" t="n">
        <v>772.88</v>
      </c>
      <c r="K519" s="5" t="n">
        <v>5410.16</v>
      </c>
      <c r="L519" s="5" t="n">
        <v>3246.1</v>
      </c>
      <c r="M519" s="4" t="n">
        <v>2164.06</v>
      </c>
      <c r="N519" s="4" t="inlineStr">
        <is>
          <t>Existing</t>
        </is>
      </c>
      <c r="O519" s="4" t="inlineStr">
        <is>
          <t>Offline</t>
        </is>
      </c>
      <c r="P519" s="5" t="n">
        <v>6806.42</v>
      </c>
      <c r="Q519" s="5" t="n">
        <v>79.48999999999999</v>
      </c>
      <c r="R519" s="5" t="inlineStr"/>
    </row>
    <row r="520">
      <c r="A520" s="2" t="inlineStr">
        <is>
          <t>ORD-1519</t>
        </is>
      </c>
      <c r="B520" s="3" t="inlineStr">
        <is>
          <t>11-10-2024</t>
        </is>
      </c>
      <c r="C520" s="3" t="inlineStr">
        <is>
          <t>Oct-2024</t>
        </is>
      </c>
      <c r="D520" s="2" t="inlineStr">
        <is>
          <t>North</t>
        </is>
      </c>
      <c r="E520" s="2" t="inlineStr">
        <is>
          <t>Lucknow</t>
        </is>
      </c>
      <c r="F520" s="3" t="inlineStr">
        <is>
          <t>Arjun Mehta</t>
        </is>
      </c>
      <c r="G520" s="3" t="inlineStr">
        <is>
          <t>Software</t>
        </is>
      </c>
      <c r="H520" s="2" t="inlineStr">
        <is>
          <t>CRM Tool</t>
        </is>
      </c>
      <c r="I520" s="2" t="n">
        <v>15</v>
      </c>
      <c r="J520" s="3" t="n">
        <v>3235.23</v>
      </c>
      <c r="K520" s="3" t="n">
        <v>48528.45</v>
      </c>
      <c r="L520" s="3" t="n">
        <v>14558.53</v>
      </c>
      <c r="M520" s="2" t="n">
        <v>33969.92</v>
      </c>
      <c r="N520" s="2" t="inlineStr">
        <is>
          <t>Existing</t>
        </is>
      </c>
      <c r="O520" s="2" t="inlineStr">
        <is>
          <t>Offline</t>
        </is>
      </c>
      <c r="P520" s="3" t="n">
        <v>57845.65</v>
      </c>
      <c r="Q520" s="3" t="n">
        <v>83.89</v>
      </c>
      <c r="R520" s="3" t="inlineStr"/>
    </row>
    <row r="521">
      <c r="A521" s="4" t="inlineStr">
        <is>
          <t>ORD-1520</t>
        </is>
      </c>
      <c r="B521" s="5" t="inlineStr">
        <is>
          <t>12-10-2024</t>
        </is>
      </c>
      <c r="C521" s="5" t="inlineStr">
        <is>
          <t>Oct-2024</t>
        </is>
      </c>
      <c r="D521" s="4" t="inlineStr">
        <is>
          <t>North</t>
        </is>
      </c>
      <c r="E521" s="4" t="inlineStr">
        <is>
          <t>Lucknow</t>
        </is>
      </c>
      <c r="F521" s="5" t="inlineStr">
        <is>
          <t>Vikram Singh</t>
        </is>
      </c>
      <c r="G521" s="5" t="inlineStr">
        <is>
          <t>Apparel</t>
        </is>
      </c>
      <c r="H521" s="4" t="inlineStr">
        <is>
          <t>Jacket</t>
        </is>
      </c>
      <c r="I521" s="4" t="n">
        <v>7</v>
      </c>
      <c r="J521" s="5" t="n">
        <v>121.86</v>
      </c>
      <c r="K521" s="5" t="n">
        <v>853.02</v>
      </c>
      <c r="L521" s="5" t="n">
        <v>383.86</v>
      </c>
      <c r="M521" s="4" t="n">
        <v>469.16</v>
      </c>
      <c r="N521" s="4" t="inlineStr">
        <is>
          <t>Existing</t>
        </is>
      </c>
      <c r="O521" s="4" t="inlineStr">
        <is>
          <t>Offline</t>
        </is>
      </c>
      <c r="P521" s="5" t="n">
        <v>710.66</v>
      </c>
      <c r="Q521" s="5" t="n">
        <v>120.03</v>
      </c>
      <c r="R521" s="5" t="inlineStr"/>
    </row>
    <row r="522">
      <c r="A522" s="2" t="inlineStr">
        <is>
          <t>ORD-1521</t>
        </is>
      </c>
      <c r="B522" s="3" t="inlineStr">
        <is>
          <t>12-10-2024</t>
        </is>
      </c>
      <c r="C522" s="3" t="inlineStr">
        <is>
          <t>Oct-2024</t>
        </is>
      </c>
      <c r="D522" s="2" t="inlineStr">
        <is>
          <t>South</t>
        </is>
      </c>
      <c r="E522" s="2" t="inlineStr">
        <is>
          <t>Bangalore</t>
        </is>
      </c>
      <c r="F522" s="3" t="inlineStr">
        <is>
          <t>Rahul Sharma</t>
        </is>
      </c>
      <c r="G522" s="3" t="inlineStr">
        <is>
          <t>Apparel</t>
        </is>
      </c>
      <c r="H522" s="2" t="inlineStr">
        <is>
          <t>Trousers</t>
        </is>
      </c>
      <c r="I522" s="2" t="n">
        <v>18</v>
      </c>
      <c r="J522" s="3" t="n">
        <v>74.79000000000001</v>
      </c>
      <c r="K522" s="3" t="n">
        <v>1346.22</v>
      </c>
      <c r="L522" s="3" t="n">
        <v>605.8</v>
      </c>
      <c r="M522" s="2" t="n">
        <v>740.42</v>
      </c>
      <c r="N522" s="2" t="inlineStr">
        <is>
          <t>Existing</t>
        </is>
      </c>
      <c r="O522" s="2" t="inlineStr">
        <is>
          <t>Online</t>
        </is>
      </c>
      <c r="P522" s="3" t="n">
        <v>1477.61</v>
      </c>
      <c r="Q522" s="3" t="n">
        <v>91.11</v>
      </c>
      <c r="R522" s="3" t="inlineStr"/>
    </row>
    <row r="523">
      <c r="A523" s="4" t="inlineStr">
        <is>
          <t>ORD-1522</t>
        </is>
      </c>
      <c r="B523" s="5" t="inlineStr">
        <is>
          <t>13-10-2024</t>
        </is>
      </c>
      <c r="C523" s="5" t="inlineStr">
        <is>
          <t>Oct-2024</t>
        </is>
      </c>
      <c r="D523" s="4" t="inlineStr">
        <is>
          <t>East</t>
        </is>
      </c>
      <c r="E523" s="4" t="inlineStr">
        <is>
          <t>Patna</t>
        </is>
      </c>
      <c r="F523" s="5" t="inlineStr">
        <is>
          <t>Rahul Sharma</t>
        </is>
      </c>
      <c r="G523" s="5" t="inlineStr">
        <is>
          <t>Apparel</t>
        </is>
      </c>
      <c r="H523" s="4" t="inlineStr">
        <is>
          <t>Trousers</t>
        </is>
      </c>
      <c r="I523" s="4" t="n">
        <v>3</v>
      </c>
      <c r="J523" s="5" t="n">
        <v>69.95999999999999</v>
      </c>
      <c r="K523" s="5" t="n">
        <v>209.88</v>
      </c>
      <c r="L523" s="5" t="n">
        <v>94.45</v>
      </c>
      <c r="M523" s="4" t="n">
        <v>115.43</v>
      </c>
      <c r="N523" s="4" t="inlineStr">
        <is>
          <t>New</t>
        </is>
      </c>
      <c r="O523" s="4" t="inlineStr">
        <is>
          <t>Offline</t>
        </is>
      </c>
      <c r="P523" s="5" t="n">
        <v>215.33</v>
      </c>
      <c r="Q523" s="5" t="n">
        <v>97.47</v>
      </c>
      <c r="R523" s="5" t="inlineStr"/>
    </row>
    <row r="524">
      <c r="A524" s="2" t="inlineStr">
        <is>
          <t>ORD-1523</t>
        </is>
      </c>
      <c r="B524" s="3" t="inlineStr">
        <is>
          <t>14-10-2024</t>
        </is>
      </c>
      <c r="C524" s="3" t="inlineStr">
        <is>
          <t>Oct-2024</t>
        </is>
      </c>
      <c r="D524" s="2" t="inlineStr">
        <is>
          <t>South</t>
        </is>
      </c>
      <c r="E524" s="2" t="inlineStr">
        <is>
          <t>Hyderabad</t>
        </is>
      </c>
      <c r="F524" s="3" t="inlineStr">
        <is>
          <t>Vikram Singh</t>
        </is>
      </c>
      <c r="G524" s="3" t="inlineStr">
        <is>
          <t>Furniture</t>
        </is>
      </c>
      <c r="H524" s="2" t="inlineStr">
        <is>
          <t>Office Chair</t>
        </is>
      </c>
      <c r="I524" s="2" t="n">
        <v>12</v>
      </c>
      <c r="J524" s="3" t="n">
        <v>369.95</v>
      </c>
      <c r="K524" s="3" t="n">
        <v>4439.4</v>
      </c>
      <c r="L524" s="3" t="n">
        <v>2441.67</v>
      </c>
      <c r="M524" s="2" t="n">
        <v>1997.73</v>
      </c>
      <c r="N524" s="2" t="inlineStr">
        <is>
          <t>New</t>
        </is>
      </c>
      <c r="O524" s="2" t="inlineStr">
        <is>
          <t>Online</t>
        </is>
      </c>
      <c r="P524" s="3" t="n">
        <v>4536.57</v>
      </c>
      <c r="Q524" s="3" t="n">
        <v>97.86</v>
      </c>
      <c r="R524" s="3" t="inlineStr"/>
    </row>
    <row r="525">
      <c r="A525" s="4" t="inlineStr">
        <is>
          <t>ORD-1524</t>
        </is>
      </c>
      <c r="B525" s="5" t="inlineStr">
        <is>
          <t>14-10-2024</t>
        </is>
      </c>
      <c r="C525" s="5" t="inlineStr">
        <is>
          <t>Oct-2024</t>
        </is>
      </c>
      <c r="D525" s="4" t="inlineStr">
        <is>
          <t>North</t>
        </is>
      </c>
      <c r="E525" s="4" t="inlineStr">
        <is>
          <t>Chandigarh</t>
        </is>
      </c>
      <c r="F525" s="5" t="inlineStr">
        <is>
          <t>Ravi Verma</t>
        </is>
      </c>
      <c r="G525" s="5" t="inlineStr">
        <is>
          <t>Furniture</t>
        </is>
      </c>
      <c r="H525" s="4" t="inlineStr">
        <is>
          <t>Desk</t>
        </is>
      </c>
      <c r="I525" s="4" t="n">
        <v>11</v>
      </c>
      <c r="J525" s="5" t="n">
        <v>488.13</v>
      </c>
      <c r="K525" s="5" t="n">
        <v>5369.43</v>
      </c>
      <c r="L525" s="5" t="n">
        <v>2953.19</v>
      </c>
      <c r="M525" s="4" t="n">
        <v>2416.24</v>
      </c>
      <c r="N525" s="4" t="inlineStr">
        <is>
          <t>Existing</t>
        </is>
      </c>
      <c r="O525" s="4" t="inlineStr">
        <is>
          <t>Offline</t>
        </is>
      </c>
      <c r="P525" s="5" t="n">
        <v>4680.25</v>
      </c>
      <c r="Q525" s="5" t="n">
        <v>114.73</v>
      </c>
      <c r="R525" s="5" t="inlineStr"/>
    </row>
    <row r="526">
      <c r="A526" s="2" t="inlineStr">
        <is>
          <t>ORD-1525</t>
        </is>
      </c>
      <c r="B526" s="3" t="inlineStr">
        <is>
          <t>15-10-2024</t>
        </is>
      </c>
      <c r="C526" s="3" t="inlineStr">
        <is>
          <t>Oct-2024</t>
        </is>
      </c>
      <c r="D526" s="2" t="inlineStr">
        <is>
          <t>South</t>
        </is>
      </c>
      <c r="E526" s="2" t="inlineStr">
        <is>
          <t>Chennai</t>
        </is>
      </c>
      <c r="F526" s="3" t="inlineStr">
        <is>
          <t>Rahul Sharma</t>
        </is>
      </c>
      <c r="G526" s="3" t="inlineStr">
        <is>
          <t>Software</t>
        </is>
      </c>
      <c r="H526" s="2" t="inlineStr">
        <is>
          <t>HR System</t>
        </is>
      </c>
      <c r="I526" s="2" t="n">
        <v>17</v>
      </c>
      <c r="J526" s="3" t="n">
        <v>1846.33</v>
      </c>
      <c r="K526" s="3" t="n">
        <v>31387.61</v>
      </c>
      <c r="L526" s="3" t="n">
        <v>9416.280000000001</v>
      </c>
      <c r="M526" s="2" t="n">
        <v>21971.33</v>
      </c>
      <c r="N526" s="2" t="inlineStr">
        <is>
          <t>Existing</t>
        </is>
      </c>
      <c r="O526" s="2" t="inlineStr">
        <is>
          <t>Online</t>
        </is>
      </c>
      <c r="P526" s="3" t="n">
        <v>35892.55</v>
      </c>
      <c r="Q526" s="3" t="n">
        <v>87.45</v>
      </c>
      <c r="R526" s="3" t="inlineStr"/>
    </row>
    <row r="527">
      <c r="A527" s="4" t="inlineStr">
        <is>
          <t>ORD-1526</t>
        </is>
      </c>
      <c r="B527" s="5" t="inlineStr">
        <is>
          <t>16-10-2024</t>
        </is>
      </c>
      <c r="C527" s="5" t="inlineStr">
        <is>
          <t>Oct-2024</t>
        </is>
      </c>
      <c r="D527" s="4" t="inlineStr">
        <is>
          <t>North</t>
        </is>
      </c>
      <c r="E527" s="4" t="inlineStr">
        <is>
          <t>Chandigarh</t>
        </is>
      </c>
      <c r="F527" s="5" t="inlineStr">
        <is>
          <t>Pooja Joshi</t>
        </is>
      </c>
      <c r="G527" s="5" t="inlineStr">
        <is>
          <t>Electronics</t>
        </is>
      </c>
      <c r="H527" s="4" t="inlineStr">
        <is>
          <t>Laptop</t>
        </is>
      </c>
      <c r="I527" s="4" t="n">
        <v>17</v>
      </c>
      <c r="J527" s="5" t="n">
        <v>1263.88</v>
      </c>
      <c r="K527" s="5" t="n">
        <v>21485.96</v>
      </c>
      <c r="L527" s="5" t="n">
        <v>12891.58</v>
      </c>
      <c r="M527" s="4" t="n">
        <v>8594.379999999999</v>
      </c>
      <c r="N527" s="4" t="inlineStr">
        <is>
          <t>Existing</t>
        </is>
      </c>
      <c r="O527" s="4" t="inlineStr">
        <is>
          <t>Online</t>
        </is>
      </c>
      <c r="P527" s="5" t="n">
        <v>23393.48</v>
      </c>
      <c r="Q527" s="5" t="n">
        <v>91.84999999999999</v>
      </c>
      <c r="R527" s="5" t="inlineStr"/>
    </row>
    <row r="528">
      <c r="A528" s="2" t="inlineStr">
        <is>
          <t>ORD-1527</t>
        </is>
      </c>
      <c r="B528" s="3" t="inlineStr">
        <is>
          <t>16-10-2024</t>
        </is>
      </c>
      <c r="C528" s="3" t="inlineStr">
        <is>
          <t>Oct-2024</t>
        </is>
      </c>
      <c r="D528" s="2" t="inlineStr">
        <is>
          <t>East</t>
        </is>
      </c>
      <c r="E528" s="2" t="inlineStr">
        <is>
          <t>Patna</t>
        </is>
      </c>
      <c r="F528" s="3" t="inlineStr">
        <is>
          <t>Sneha Reddy</t>
        </is>
      </c>
      <c r="G528" s="3" t="inlineStr">
        <is>
          <t>Apparel</t>
        </is>
      </c>
      <c r="H528" s="2" t="inlineStr">
        <is>
          <t>Formal Shirt</t>
        </is>
      </c>
      <c r="I528" s="2" t="n">
        <v>7</v>
      </c>
      <c r="J528" s="3" t="n">
        <v>76.59</v>
      </c>
      <c r="K528" s="3" t="n">
        <v>536.13</v>
      </c>
      <c r="L528" s="3" t="n">
        <v>241.26</v>
      </c>
      <c r="M528" s="2" t="n">
        <v>294.87</v>
      </c>
      <c r="N528" s="2" t="inlineStr">
        <is>
          <t>Existing</t>
        </is>
      </c>
      <c r="O528" s="2" t="inlineStr">
        <is>
          <t>Offline</t>
        </is>
      </c>
      <c r="P528" s="3" t="n">
        <v>608.8099999999999</v>
      </c>
      <c r="Q528" s="3" t="n">
        <v>88.06</v>
      </c>
      <c r="R528" s="3" t="inlineStr"/>
    </row>
    <row r="529">
      <c r="A529" s="4" t="inlineStr">
        <is>
          <t>ORD-1528</t>
        </is>
      </c>
      <c r="B529" s="5" t="inlineStr">
        <is>
          <t>16-10-2024</t>
        </is>
      </c>
      <c r="C529" s="5" t="inlineStr">
        <is>
          <t>Oct-2024</t>
        </is>
      </c>
      <c r="D529" s="4" t="inlineStr">
        <is>
          <t>East</t>
        </is>
      </c>
      <c r="E529" s="4" t="inlineStr">
        <is>
          <t>Kolkata</t>
        </is>
      </c>
      <c r="F529" s="5" t="inlineStr">
        <is>
          <t>Arjun Mehta</t>
        </is>
      </c>
      <c r="G529" s="5" t="inlineStr">
        <is>
          <t>Apparel</t>
        </is>
      </c>
      <c r="H529" s="4" t="inlineStr">
        <is>
          <t>Jacket</t>
        </is>
      </c>
      <c r="I529" s="4" t="n">
        <v>1</v>
      </c>
      <c r="J529" s="5" t="n">
        <v>131</v>
      </c>
      <c r="K529" s="5" t="n">
        <v>131</v>
      </c>
      <c r="L529" s="5" t="n">
        <v>58.95</v>
      </c>
      <c r="M529" s="4" t="n">
        <v>72.05</v>
      </c>
      <c r="N529" s="4" t="inlineStr">
        <is>
          <t>New</t>
        </is>
      </c>
      <c r="O529" s="4" t="inlineStr">
        <is>
          <t>Online</t>
        </is>
      </c>
      <c r="P529" s="5" t="n">
        <v>140.34</v>
      </c>
      <c r="Q529" s="5" t="n">
        <v>93.34</v>
      </c>
      <c r="R529" s="5" t="inlineStr"/>
    </row>
    <row r="530">
      <c r="A530" s="2" t="inlineStr">
        <is>
          <t>ORD-1529</t>
        </is>
      </c>
      <c r="B530" s="3" t="inlineStr">
        <is>
          <t>17-10-2024</t>
        </is>
      </c>
      <c r="C530" s="3" t="inlineStr">
        <is>
          <t>Oct-2024</t>
        </is>
      </c>
      <c r="D530" s="2" t="inlineStr">
        <is>
          <t>East</t>
        </is>
      </c>
      <c r="E530" s="2" t="inlineStr">
        <is>
          <t>Bhubaneswar</t>
        </is>
      </c>
      <c r="F530" s="3" t="inlineStr">
        <is>
          <t>Arjun Mehta</t>
        </is>
      </c>
      <c r="G530" s="3" t="inlineStr">
        <is>
          <t>Apparel</t>
        </is>
      </c>
      <c r="H530" s="2" t="inlineStr">
        <is>
          <t>Formal Shirt</t>
        </is>
      </c>
      <c r="I530" s="2" t="n">
        <v>6</v>
      </c>
      <c r="J530" s="3" t="n">
        <v>73.14</v>
      </c>
      <c r="K530" s="3" t="n">
        <v>438.84</v>
      </c>
      <c r="L530" s="3" t="n">
        <v>197.48</v>
      </c>
      <c r="M530" s="2" t="n">
        <v>241.36</v>
      </c>
      <c r="N530" s="2" t="inlineStr">
        <is>
          <t>Existing</t>
        </is>
      </c>
      <c r="O530" s="2" t="inlineStr">
        <is>
          <t>Offline</t>
        </is>
      </c>
      <c r="P530" s="3" t="n">
        <v>362.2</v>
      </c>
      <c r="Q530" s="3" t="n">
        <v>121.16</v>
      </c>
      <c r="R530" s="3" t="inlineStr"/>
    </row>
    <row r="531">
      <c r="A531" s="4" t="inlineStr">
        <is>
          <t>ORD-1530</t>
        </is>
      </c>
      <c r="B531" s="5" t="inlineStr">
        <is>
          <t>17-10-2024</t>
        </is>
      </c>
      <c r="C531" s="5" t="inlineStr">
        <is>
          <t>Oct-2024</t>
        </is>
      </c>
      <c r="D531" s="4" t="inlineStr">
        <is>
          <t>North</t>
        </is>
      </c>
      <c r="E531" s="4" t="inlineStr">
        <is>
          <t>Chandigarh</t>
        </is>
      </c>
      <c r="F531" s="5" t="inlineStr">
        <is>
          <t>Rahul Sharma</t>
        </is>
      </c>
      <c r="G531" s="5" t="inlineStr">
        <is>
          <t>Electronics</t>
        </is>
      </c>
      <c r="H531" s="4" t="inlineStr">
        <is>
          <t>Smartwatch</t>
        </is>
      </c>
      <c r="I531" s="4" t="n">
        <v>2</v>
      </c>
      <c r="J531" s="5" t="n">
        <v>275.17</v>
      </c>
      <c r="K531" s="5" t="n">
        <v>550.34</v>
      </c>
      <c r="L531" s="5" t="n">
        <v>330.2</v>
      </c>
      <c r="M531" s="4" t="n">
        <v>220.14</v>
      </c>
      <c r="N531" s="4" t="inlineStr">
        <is>
          <t>Existing</t>
        </is>
      </c>
      <c r="O531" s="4" t="inlineStr">
        <is>
          <t>Online</t>
        </is>
      </c>
      <c r="P531" s="5" t="n">
        <v>634.1799999999999</v>
      </c>
      <c r="Q531" s="5" t="n">
        <v>86.78</v>
      </c>
      <c r="R531" s="5" t="inlineStr"/>
    </row>
    <row r="532">
      <c r="A532" s="2" t="inlineStr">
        <is>
          <t>ORD-1531</t>
        </is>
      </c>
      <c r="B532" s="3" t="inlineStr">
        <is>
          <t>17-10-2024</t>
        </is>
      </c>
      <c r="C532" s="3" t="inlineStr">
        <is>
          <t>Oct-2024</t>
        </is>
      </c>
      <c r="D532" s="2" t="inlineStr">
        <is>
          <t>West</t>
        </is>
      </c>
      <c r="E532" s="2" t="inlineStr">
        <is>
          <t>Pune</t>
        </is>
      </c>
      <c r="F532" s="3" t="inlineStr">
        <is>
          <t>Deepa Nair</t>
        </is>
      </c>
      <c r="G532" s="3" t="inlineStr">
        <is>
          <t>Apparel</t>
        </is>
      </c>
      <c r="H532" s="2" t="inlineStr">
        <is>
          <t>T-Shirt</t>
        </is>
      </c>
      <c r="I532" s="2" t="n">
        <v>7</v>
      </c>
      <c r="J532" s="3" t="n">
        <v>41.7</v>
      </c>
      <c r="K532" s="3" t="n">
        <v>291.9</v>
      </c>
      <c r="L532" s="3" t="n">
        <v>131.35</v>
      </c>
      <c r="M532" s="2" t="n">
        <v>160.55</v>
      </c>
      <c r="N532" s="2" t="inlineStr">
        <is>
          <t>New</t>
        </is>
      </c>
      <c r="O532" s="2" t="inlineStr">
        <is>
          <t>Offline</t>
        </is>
      </c>
      <c r="P532" s="3" t="n">
        <v>316.39</v>
      </c>
      <c r="Q532" s="3" t="n">
        <v>92.26000000000001</v>
      </c>
      <c r="R532" s="3" t="inlineStr"/>
    </row>
    <row r="533">
      <c r="A533" s="4" t="inlineStr">
        <is>
          <t>ORD-1532</t>
        </is>
      </c>
      <c r="B533" s="5" t="inlineStr">
        <is>
          <t>18-10-2024</t>
        </is>
      </c>
      <c r="C533" s="5" t="inlineStr">
        <is>
          <t>Oct-2024</t>
        </is>
      </c>
      <c r="D533" s="4" t="inlineStr">
        <is>
          <t>West</t>
        </is>
      </c>
      <c r="E533" s="4" t="inlineStr">
        <is>
          <t>Mumbai</t>
        </is>
      </c>
      <c r="F533" s="5" t="inlineStr">
        <is>
          <t>Pooja Joshi</t>
        </is>
      </c>
      <c r="G533" s="5" t="inlineStr">
        <is>
          <t>Apparel</t>
        </is>
      </c>
      <c r="H533" s="4" t="inlineStr">
        <is>
          <t>Trousers</t>
        </is>
      </c>
      <c r="I533" s="4" t="n">
        <v>16</v>
      </c>
      <c r="J533" s="5" t="n">
        <v>66.23999999999999</v>
      </c>
      <c r="K533" s="5" t="n">
        <v>1059.84</v>
      </c>
      <c r="L533" s="5" t="n">
        <v>476.93</v>
      </c>
      <c r="M533" s="4" t="n">
        <v>582.91</v>
      </c>
      <c r="N533" s="4" t="inlineStr">
        <is>
          <t>New</t>
        </is>
      </c>
      <c r="O533" s="4" t="inlineStr">
        <is>
          <t>Online</t>
        </is>
      </c>
      <c r="P533" s="5" t="n">
        <v>1304.18</v>
      </c>
      <c r="Q533" s="5" t="n">
        <v>81.26000000000001</v>
      </c>
      <c r="R533" s="5" t="inlineStr"/>
    </row>
    <row r="534">
      <c r="A534" s="2" t="inlineStr">
        <is>
          <t>ORD-1533</t>
        </is>
      </c>
      <c r="B534" s="3" t="inlineStr">
        <is>
          <t>19-10-2024</t>
        </is>
      </c>
      <c r="C534" s="3" t="inlineStr">
        <is>
          <t>Oct-2024</t>
        </is>
      </c>
      <c r="D534" s="2" t="inlineStr">
        <is>
          <t>East</t>
        </is>
      </c>
      <c r="E534" s="2" t="inlineStr">
        <is>
          <t>Bhubaneswar</t>
        </is>
      </c>
      <c r="F534" s="3" t="inlineStr">
        <is>
          <t>Amit Kumar</t>
        </is>
      </c>
      <c r="G534" s="3" t="inlineStr">
        <is>
          <t>Furniture</t>
        </is>
      </c>
      <c r="H534" s="2" t="inlineStr">
        <is>
          <t>Bookshelf</t>
        </is>
      </c>
      <c r="I534" s="2" t="n">
        <v>11</v>
      </c>
      <c r="J534" s="3" t="n">
        <v>198.13</v>
      </c>
      <c r="K534" s="3" t="n">
        <v>2179.43</v>
      </c>
      <c r="L534" s="3" t="n">
        <v>1198.69</v>
      </c>
      <c r="M534" s="2" t="n">
        <v>980.74</v>
      </c>
      <c r="N534" s="2" t="inlineStr">
        <is>
          <t>New</t>
        </is>
      </c>
      <c r="O534" s="2" t="inlineStr">
        <is>
          <t>Online</t>
        </is>
      </c>
      <c r="P534" s="3" t="n">
        <v>2261.52</v>
      </c>
      <c r="Q534" s="3" t="n">
        <v>96.37</v>
      </c>
      <c r="R534" s="3" t="inlineStr"/>
    </row>
    <row r="535">
      <c r="A535" s="4" t="inlineStr">
        <is>
          <t>ORD-1534</t>
        </is>
      </c>
      <c r="B535" s="5" t="inlineStr">
        <is>
          <t>19-10-2024</t>
        </is>
      </c>
      <c r="C535" s="5" t="inlineStr">
        <is>
          <t>Oct-2024</t>
        </is>
      </c>
      <c r="D535" s="4" t="inlineStr">
        <is>
          <t>East</t>
        </is>
      </c>
      <c r="E535" s="4" t="inlineStr">
        <is>
          <t>Bhubaneswar</t>
        </is>
      </c>
      <c r="F535" s="5" t="inlineStr">
        <is>
          <t>Pooja Joshi</t>
        </is>
      </c>
      <c r="G535" s="5" t="inlineStr">
        <is>
          <t>Furniture</t>
        </is>
      </c>
      <c r="H535" s="4" t="inlineStr">
        <is>
          <t>Bookshelf</t>
        </is>
      </c>
      <c r="I535" s="4" t="n">
        <v>12</v>
      </c>
      <c r="J535" s="5" t="n">
        <v>204.18</v>
      </c>
      <c r="K535" s="5" t="n">
        <v>2450.16</v>
      </c>
      <c r="L535" s="5" t="n">
        <v>1347.59</v>
      </c>
      <c r="M535" s="4" t="n">
        <v>1102.57</v>
      </c>
      <c r="N535" s="4" t="inlineStr">
        <is>
          <t>New</t>
        </is>
      </c>
      <c r="O535" s="4" t="inlineStr">
        <is>
          <t>Online</t>
        </is>
      </c>
      <c r="P535" s="5" t="n">
        <v>2457.13</v>
      </c>
      <c r="Q535" s="5" t="n">
        <v>99.72</v>
      </c>
      <c r="R535" s="5" t="inlineStr"/>
    </row>
    <row r="536">
      <c r="A536" s="2" t="inlineStr">
        <is>
          <t>ORD-1535</t>
        </is>
      </c>
      <c r="B536" s="3" t="inlineStr">
        <is>
          <t>19-10-2024</t>
        </is>
      </c>
      <c r="C536" s="3" t="inlineStr">
        <is>
          <t>Oct-2024</t>
        </is>
      </c>
      <c r="D536" s="2" t="inlineStr">
        <is>
          <t>North</t>
        </is>
      </c>
      <c r="E536" s="2" t="inlineStr">
        <is>
          <t>Chandigarh</t>
        </is>
      </c>
      <c r="F536" s="3" t="inlineStr">
        <is>
          <t>Ravi Verma</t>
        </is>
      </c>
      <c r="G536" s="3" t="inlineStr">
        <is>
          <t>Electronics</t>
        </is>
      </c>
      <c r="H536" s="2" t="inlineStr">
        <is>
          <t>Tablet</t>
        </is>
      </c>
      <c r="I536" s="2" t="n">
        <v>18</v>
      </c>
      <c r="J536" s="3" t="n">
        <v>595.3200000000001</v>
      </c>
      <c r="K536" s="3" t="n">
        <v>10715.76</v>
      </c>
      <c r="L536" s="3" t="n">
        <v>6429.46</v>
      </c>
      <c r="M536" s="2" t="n">
        <v>4286.3</v>
      </c>
      <c r="N536" s="2" t="inlineStr">
        <is>
          <t>Existing</t>
        </is>
      </c>
      <c r="O536" s="2" t="inlineStr">
        <is>
          <t>Online</t>
        </is>
      </c>
      <c r="P536" s="3" t="n">
        <v>11899.18</v>
      </c>
      <c r="Q536" s="3" t="n">
        <v>90.05</v>
      </c>
      <c r="R536" s="3" t="inlineStr"/>
    </row>
    <row r="537">
      <c r="A537" s="4" t="inlineStr">
        <is>
          <t>ORD-1536</t>
        </is>
      </c>
      <c r="B537" s="5" t="inlineStr">
        <is>
          <t>21-10-2024</t>
        </is>
      </c>
      <c r="C537" s="5" t="inlineStr">
        <is>
          <t>Oct-2024</t>
        </is>
      </c>
      <c r="D537" s="4" t="inlineStr">
        <is>
          <t>West</t>
        </is>
      </c>
      <c r="E537" s="4" t="inlineStr">
        <is>
          <t>Mumbai</t>
        </is>
      </c>
      <c r="F537" s="5" t="inlineStr">
        <is>
          <t>Deepa Nair</t>
        </is>
      </c>
      <c r="G537" s="5" t="inlineStr">
        <is>
          <t>Furniture</t>
        </is>
      </c>
      <c r="H537" s="4" t="inlineStr">
        <is>
          <t>Cabinet</t>
        </is>
      </c>
      <c r="I537" s="4" t="n">
        <v>14</v>
      </c>
      <c r="J537" s="5" t="n">
        <v>304.03</v>
      </c>
      <c r="K537" s="5" t="n">
        <v>4256.42</v>
      </c>
      <c r="L537" s="5" t="n">
        <v>2341.03</v>
      </c>
      <c r="M537" s="4" t="n">
        <v>1915.39</v>
      </c>
      <c r="N537" s="4" t="inlineStr">
        <is>
          <t>Existing</t>
        </is>
      </c>
      <c r="O537" s="4" t="inlineStr">
        <is>
          <t>Online</t>
        </is>
      </c>
      <c r="P537" s="5" t="n">
        <v>3773.5</v>
      </c>
      <c r="Q537" s="5" t="n">
        <v>112.8</v>
      </c>
      <c r="R537" s="5" t="inlineStr"/>
    </row>
    <row r="538">
      <c r="A538" s="2" t="inlineStr">
        <is>
          <t>ORD-1537</t>
        </is>
      </c>
      <c r="B538" s="3" t="inlineStr">
        <is>
          <t>21-10-2024</t>
        </is>
      </c>
      <c r="C538" s="3" t="inlineStr">
        <is>
          <t>Oct-2024</t>
        </is>
      </c>
      <c r="D538" s="2" t="inlineStr">
        <is>
          <t>North</t>
        </is>
      </c>
      <c r="E538" s="2" t="inlineStr">
        <is>
          <t>Lucknow</t>
        </is>
      </c>
      <c r="F538" s="3" t="inlineStr">
        <is>
          <t>Kavita Rao</t>
        </is>
      </c>
      <c r="G538" s="3" t="inlineStr">
        <is>
          <t>Software</t>
        </is>
      </c>
      <c r="H538" s="2" t="inlineStr">
        <is>
          <t>ERP Suite</t>
        </is>
      </c>
      <c r="I538" s="2" t="n">
        <v>19</v>
      </c>
      <c r="J538" s="3" t="n">
        <v>5096.08</v>
      </c>
      <c r="K538" s="3" t="n">
        <v>96825.52</v>
      </c>
      <c r="L538" s="3" t="n">
        <v>29047.66</v>
      </c>
      <c r="M538" s="2" t="n">
        <v>67777.86</v>
      </c>
      <c r="N538" s="2" t="inlineStr">
        <is>
          <t>Existing</t>
        </is>
      </c>
      <c r="O538" s="2" t="inlineStr">
        <is>
          <t>Online</t>
        </is>
      </c>
      <c r="P538" s="3" t="n">
        <v>117256.82</v>
      </c>
      <c r="Q538" s="3" t="n">
        <v>82.58</v>
      </c>
      <c r="R538" s="3" t="inlineStr"/>
    </row>
    <row r="539">
      <c r="A539" s="4" t="inlineStr">
        <is>
          <t>ORD-1538</t>
        </is>
      </c>
      <c r="B539" s="5" t="inlineStr">
        <is>
          <t>22-10-2024</t>
        </is>
      </c>
      <c r="C539" s="5" t="inlineStr">
        <is>
          <t>Oct-2024</t>
        </is>
      </c>
      <c r="D539" s="4" t="inlineStr">
        <is>
          <t>East</t>
        </is>
      </c>
      <c r="E539" s="4" t="inlineStr">
        <is>
          <t>Bhubaneswar</t>
        </is>
      </c>
      <c r="F539" s="5" t="inlineStr">
        <is>
          <t>Priya Patel</t>
        </is>
      </c>
      <c r="G539" s="5" t="inlineStr">
        <is>
          <t>Electronics</t>
        </is>
      </c>
      <c r="H539" s="4" t="inlineStr">
        <is>
          <t>Smartwatch</t>
        </is>
      </c>
      <c r="I539" s="4" t="n">
        <v>11</v>
      </c>
      <c r="J539" s="5" t="n">
        <v>299.66</v>
      </c>
      <c r="K539" s="5" t="n">
        <v>3296.26</v>
      </c>
      <c r="L539" s="5" t="n">
        <v>1977.76</v>
      </c>
      <c r="M539" s="4" t="n">
        <v>1318.5</v>
      </c>
      <c r="N539" s="4" t="inlineStr">
        <is>
          <t>New</t>
        </is>
      </c>
      <c r="O539" s="4" t="inlineStr">
        <is>
          <t>Online</t>
        </is>
      </c>
      <c r="P539" s="5" t="n">
        <v>2995.66</v>
      </c>
      <c r="Q539" s="5" t="n">
        <v>110.03</v>
      </c>
      <c r="R539" s="5" t="inlineStr"/>
    </row>
    <row r="540">
      <c r="A540" s="2" t="inlineStr">
        <is>
          <t>ORD-1539</t>
        </is>
      </c>
      <c r="B540" s="3" t="inlineStr">
        <is>
          <t>23-10-2024</t>
        </is>
      </c>
      <c r="C540" s="3" t="inlineStr">
        <is>
          <t>Oct-2024</t>
        </is>
      </c>
      <c r="D540" s="2" t="inlineStr">
        <is>
          <t>North</t>
        </is>
      </c>
      <c r="E540" s="2" t="inlineStr">
        <is>
          <t>Delhi</t>
        </is>
      </c>
      <c r="F540" s="3" t="inlineStr">
        <is>
          <t>Arjun Mehta</t>
        </is>
      </c>
      <c r="G540" s="3" t="inlineStr">
        <is>
          <t>Software</t>
        </is>
      </c>
      <c r="H540" s="2" t="inlineStr">
        <is>
          <t>Analytics Pro</t>
        </is>
      </c>
      <c r="I540" s="2" t="n">
        <v>13</v>
      </c>
      <c r="J540" s="3" t="n">
        <v>2557.79</v>
      </c>
      <c r="K540" s="3" t="n">
        <v>33251.27</v>
      </c>
      <c r="L540" s="3" t="n">
        <v>9975.379999999999</v>
      </c>
      <c r="M540" s="2" t="n">
        <v>23275.89</v>
      </c>
      <c r="N540" s="2" t="inlineStr">
        <is>
          <t>Existing</t>
        </is>
      </c>
      <c r="O540" s="2" t="inlineStr">
        <is>
          <t>Online</t>
        </is>
      </c>
      <c r="P540" s="3" t="n">
        <v>30020.27</v>
      </c>
      <c r="Q540" s="3" t="n">
        <v>110.76</v>
      </c>
      <c r="R540" s="3" t="inlineStr"/>
    </row>
    <row r="541">
      <c r="A541" s="4" t="inlineStr">
        <is>
          <t>ORD-1540</t>
        </is>
      </c>
      <c r="B541" s="5" t="inlineStr">
        <is>
          <t>24-10-2024</t>
        </is>
      </c>
      <c r="C541" s="5" t="inlineStr">
        <is>
          <t>Oct-2024</t>
        </is>
      </c>
      <c r="D541" s="4" t="inlineStr">
        <is>
          <t>East</t>
        </is>
      </c>
      <c r="E541" s="4" t="inlineStr">
        <is>
          <t>Patna</t>
        </is>
      </c>
      <c r="F541" s="5" t="inlineStr">
        <is>
          <t>Vikram Singh</t>
        </is>
      </c>
      <c r="G541" s="5" t="inlineStr">
        <is>
          <t>Software</t>
        </is>
      </c>
      <c r="H541" s="4" t="inlineStr">
        <is>
          <t>Analytics Pro</t>
        </is>
      </c>
      <c r="I541" s="4" t="n">
        <v>3</v>
      </c>
      <c r="J541" s="5" t="n">
        <v>2541.36</v>
      </c>
      <c r="K541" s="5" t="n">
        <v>7624.08</v>
      </c>
      <c r="L541" s="5" t="n">
        <v>2287.22</v>
      </c>
      <c r="M541" s="4" t="n">
        <v>5336.86</v>
      </c>
      <c r="N541" s="4" t="inlineStr">
        <is>
          <t>Existing</t>
        </is>
      </c>
      <c r="O541" s="4" t="inlineStr">
        <is>
          <t>Online</t>
        </is>
      </c>
      <c r="P541" s="5" t="n">
        <v>9349.049999999999</v>
      </c>
      <c r="Q541" s="5" t="n">
        <v>81.55</v>
      </c>
      <c r="R541" s="5" t="inlineStr"/>
    </row>
    <row r="542">
      <c r="A542" s="2" t="inlineStr">
        <is>
          <t>ORD-1541</t>
        </is>
      </c>
      <c r="B542" s="3" t="inlineStr">
        <is>
          <t>24-10-2024</t>
        </is>
      </c>
      <c r="C542" s="3" t="inlineStr">
        <is>
          <t>Oct-2024</t>
        </is>
      </c>
      <c r="D542" s="2" t="inlineStr">
        <is>
          <t>North</t>
        </is>
      </c>
      <c r="E542" s="2" t="inlineStr">
        <is>
          <t>Chandigarh</t>
        </is>
      </c>
      <c r="F542" s="3" t="inlineStr">
        <is>
          <t>Ravi Verma</t>
        </is>
      </c>
      <c r="G542" s="3" t="inlineStr">
        <is>
          <t>Electronics</t>
        </is>
      </c>
      <c r="H542" s="2" t="inlineStr">
        <is>
          <t>Laptop</t>
        </is>
      </c>
      <c r="I542" s="2" t="n">
        <v>18</v>
      </c>
      <c r="J542" s="3" t="n">
        <v>1276.98</v>
      </c>
      <c r="K542" s="3" t="n">
        <v>22985.64</v>
      </c>
      <c r="L542" s="3" t="n">
        <v>13791.38</v>
      </c>
      <c r="M542" s="2" t="n">
        <v>9194.26</v>
      </c>
      <c r="N542" s="2" t="inlineStr">
        <is>
          <t>Existing</t>
        </is>
      </c>
      <c r="O542" s="2" t="inlineStr">
        <is>
          <t>Online</t>
        </is>
      </c>
      <c r="P542" s="3" t="n">
        <v>28286.68</v>
      </c>
      <c r="Q542" s="3" t="n">
        <v>81.26000000000001</v>
      </c>
      <c r="R542" s="3" t="inlineStr"/>
    </row>
    <row r="543">
      <c r="A543" s="4" t="inlineStr">
        <is>
          <t>ORD-1542</t>
        </is>
      </c>
      <c r="B543" s="5" t="inlineStr">
        <is>
          <t>25-10-2024</t>
        </is>
      </c>
      <c r="C543" s="5" t="inlineStr">
        <is>
          <t>Oct-2024</t>
        </is>
      </c>
      <c r="D543" s="4" t="inlineStr">
        <is>
          <t>South</t>
        </is>
      </c>
      <c r="E543" s="4" t="inlineStr">
        <is>
          <t>Bangalore</t>
        </is>
      </c>
      <c r="F543" s="5" t="inlineStr">
        <is>
          <t>Kavita Rao</t>
        </is>
      </c>
      <c r="G543" s="5" t="inlineStr">
        <is>
          <t>Software</t>
        </is>
      </c>
      <c r="H543" s="4" t="inlineStr">
        <is>
          <t>Analytics Pro</t>
        </is>
      </c>
      <c r="I543" s="4" t="n">
        <v>13</v>
      </c>
      <c r="J543" s="5" t="n">
        <v>2453.02</v>
      </c>
      <c r="K543" s="5" t="n">
        <v>31889.26</v>
      </c>
      <c r="L543" s="5" t="n">
        <v>9566.780000000001</v>
      </c>
      <c r="M543" s="4" t="n">
        <v>22322.48</v>
      </c>
      <c r="N543" s="4" t="inlineStr">
        <is>
          <t>Existing</t>
        </is>
      </c>
      <c r="O543" s="4" t="inlineStr">
        <is>
          <t>Online</t>
        </is>
      </c>
      <c r="P543" s="5" t="n">
        <v>36074.53</v>
      </c>
      <c r="Q543" s="5" t="n">
        <v>88.40000000000001</v>
      </c>
      <c r="R543" s="5" t="inlineStr"/>
    </row>
    <row r="544">
      <c r="A544" s="2" t="inlineStr">
        <is>
          <t>ORD-1543</t>
        </is>
      </c>
      <c r="B544" s="3" t="inlineStr">
        <is>
          <t>26-10-2024</t>
        </is>
      </c>
      <c r="C544" s="3" t="inlineStr">
        <is>
          <t>Oct-2024</t>
        </is>
      </c>
      <c r="D544" s="2" t="inlineStr">
        <is>
          <t>South</t>
        </is>
      </c>
      <c r="E544" s="2" t="inlineStr">
        <is>
          <t>Chennai</t>
        </is>
      </c>
      <c r="F544" s="3" t="inlineStr">
        <is>
          <t>Ravi Verma</t>
        </is>
      </c>
      <c r="G544" s="3" t="inlineStr">
        <is>
          <t>Software</t>
        </is>
      </c>
      <c r="H544" s="2" t="inlineStr">
        <is>
          <t>Analytics Pro</t>
        </is>
      </c>
      <c r="I544" s="2" t="n">
        <v>14</v>
      </c>
      <c r="J544" s="3" t="n">
        <v>2327.13</v>
      </c>
      <c r="K544" s="3" t="n">
        <v>32579.82</v>
      </c>
      <c r="L544" s="3" t="n">
        <v>9773.950000000001</v>
      </c>
      <c r="M544" s="2" t="n">
        <v>22805.87</v>
      </c>
      <c r="N544" s="2" t="inlineStr">
        <is>
          <t>New</t>
        </is>
      </c>
      <c r="O544" s="2" t="inlineStr">
        <is>
          <t>Online</t>
        </is>
      </c>
      <c r="P544" s="3" t="n">
        <v>26252.86</v>
      </c>
      <c r="Q544" s="3" t="n">
        <v>124.1</v>
      </c>
      <c r="R544" s="3" t="inlineStr"/>
    </row>
    <row r="545">
      <c r="A545" s="4" t="inlineStr">
        <is>
          <t>ORD-1544</t>
        </is>
      </c>
      <c r="B545" s="5" t="inlineStr">
        <is>
          <t>26-10-2024</t>
        </is>
      </c>
      <c r="C545" s="5" t="inlineStr">
        <is>
          <t>Oct-2024</t>
        </is>
      </c>
      <c r="D545" s="4" t="inlineStr">
        <is>
          <t>North</t>
        </is>
      </c>
      <c r="E545" s="4" t="inlineStr">
        <is>
          <t>Delhi</t>
        </is>
      </c>
      <c r="F545" s="5" t="inlineStr">
        <is>
          <t>Pooja Joshi</t>
        </is>
      </c>
      <c r="G545" s="5" t="inlineStr">
        <is>
          <t>Software</t>
        </is>
      </c>
      <c r="H545" s="4" t="inlineStr">
        <is>
          <t>CRM Tool</t>
        </is>
      </c>
      <c r="I545" s="4" t="n">
        <v>3</v>
      </c>
      <c r="J545" s="5" t="n">
        <v>2782.33</v>
      </c>
      <c r="K545" s="5" t="n">
        <v>8346.99</v>
      </c>
      <c r="L545" s="5" t="n">
        <v>2504.1</v>
      </c>
      <c r="M545" s="4" t="n">
        <v>5842.89</v>
      </c>
      <c r="N545" s="4" t="inlineStr">
        <is>
          <t>Existing</t>
        </is>
      </c>
      <c r="O545" s="4" t="inlineStr">
        <is>
          <t>Offline</t>
        </is>
      </c>
      <c r="P545" s="5" t="n">
        <v>10406.95</v>
      </c>
      <c r="Q545" s="5" t="n">
        <v>80.20999999999999</v>
      </c>
      <c r="R545" s="5" t="inlineStr"/>
    </row>
    <row r="546">
      <c r="A546" s="2" t="inlineStr">
        <is>
          <t>ORD-1545</t>
        </is>
      </c>
      <c r="B546" s="3" t="inlineStr">
        <is>
          <t>27-10-2024</t>
        </is>
      </c>
      <c r="C546" s="3" t="inlineStr">
        <is>
          <t>Oct-2024</t>
        </is>
      </c>
      <c r="D546" s="2" t="inlineStr">
        <is>
          <t>South</t>
        </is>
      </c>
      <c r="E546" s="2" t="inlineStr">
        <is>
          <t>Bangalore</t>
        </is>
      </c>
      <c r="F546" s="3" t="inlineStr">
        <is>
          <t>Ravi Verma</t>
        </is>
      </c>
      <c r="G546" s="3" t="inlineStr">
        <is>
          <t>Software</t>
        </is>
      </c>
      <c r="H546" s="2" t="inlineStr">
        <is>
          <t>HR System</t>
        </is>
      </c>
      <c r="I546" s="2" t="n">
        <v>13</v>
      </c>
      <c r="J546" s="3" t="n">
        <v>1942.12</v>
      </c>
      <c r="K546" s="3" t="n">
        <v>25247.56</v>
      </c>
      <c r="L546" s="3" t="n">
        <v>7574.27</v>
      </c>
      <c r="M546" s="2" t="n">
        <v>17673.29</v>
      </c>
      <c r="N546" s="2" t="inlineStr">
        <is>
          <t>New</t>
        </is>
      </c>
      <c r="O546" s="2" t="inlineStr">
        <is>
          <t>Offline</t>
        </is>
      </c>
      <c r="P546" s="3" t="n">
        <v>27830.05</v>
      </c>
      <c r="Q546" s="3" t="n">
        <v>90.72</v>
      </c>
      <c r="R546" s="3" t="inlineStr"/>
    </row>
    <row r="547">
      <c r="A547" s="4" t="inlineStr">
        <is>
          <t>ORD-1546</t>
        </is>
      </c>
      <c r="B547" s="5" t="inlineStr">
        <is>
          <t>28-10-2024</t>
        </is>
      </c>
      <c r="C547" s="5" t="inlineStr">
        <is>
          <t>Oct-2024</t>
        </is>
      </c>
      <c r="D547" s="4" t="inlineStr">
        <is>
          <t>West</t>
        </is>
      </c>
      <c r="E547" s="4" t="inlineStr">
        <is>
          <t>Pune</t>
        </is>
      </c>
      <c r="F547" s="5" t="inlineStr">
        <is>
          <t>Sneha Reddy</t>
        </is>
      </c>
      <c r="G547" s="5" t="inlineStr">
        <is>
          <t>Apparel</t>
        </is>
      </c>
      <c r="H547" s="4" t="inlineStr">
        <is>
          <t>Trousers</t>
        </is>
      </c>
      <c r="I547" s="4" t="n">
        <v>18</v>
      </c>
      <c r="J547" s="5" t="n">
        <v>71.06999999999999</v>
      </c>
      <c r="K547" s="5" t="n">
        <v>1279.26</v>
      </c>
      <c r="L547" s="5" t="n">
        <v>575.67</v>
      </c>
      <c r="M547" s="4" t="n">
        <v>703.59</v>
      </c>
      <c r="N547" s="4" t="inlineStr">
        <is>
          <t>New</t>
        </is>
      </c>
      <c r="O547" s="4" t="inlineStr">
        <is>
          <t>Online</t>
        </is>
      </c>
      <c r="P547" s="5" t="n">
        <v>1386.81</v>
      </c>
      <c r="Q547" s="5" t="n">
        <v>92.23999999999999</v>
      </c>
      <c r="R547" s="5" t="inlineStr"/>
    </row>
    <row r="548">
      <c r="A548" s="2" t="inlineStr">
        <is>
          <t>ORD-1547</t>
        </is>
      </c>
      <c r="B548" s="3" t="inlineStr">
        <is>
          <t>28-10-2024</t>
        </is>
      </c>
      <c r="C548" s="3" t="inlineStr">
        <is>
          <t>Oct-2024</t>
        </is>
      </c>
      <c r="D548" s="2" t="inlineStr">
        <is>
          <t>East</t>
        </is>
      </c>
      <c r="E548" s="2" t="inlineStr">
        <is>
          <t>Kolkata</t>
        </is>
      </c>
      <c r="F548" s="3" t="inlineStr">
        <is>
          <t>Kavita Rao</t>
        </is>
      </c>
      <c r="G548" s="3" t="inlineStr">
        <is>
          <t>Software</t>
        </is>
      </c>
      <c r="H548" s="2" t="inlineStr">
        <is>
          <t>ERP Suite</t>
        </is>
      </c>
      <c r="I548" s="2" t="n">
        <v>5</v>
      </c>
      <c r="J548" s="3" t="n">
        <v>5230.19</v>
      </c>
      <c r="K548" s="3" t="n">
        <v>26150.95</v>
      </c>
      <c r="L548" s="3" t="n">
        <v>7845.28</v>
      </c>
      <c r="M548" s="2" t="n">
        <v>18305.67</v>
      </c>
      <c r="N548" s="2" t="inlineStr">
        <is>
          <t>Existing</t>
        </is>
      </c>
      <c r="O548" s="2" t="inlineStr">
        <is>
          <t>Offline</t>
        </is>
      </c>
      <c r="P548" s="3" t="n">
        <v>27680.12</v>
      </c>
      <c r="Q548" s="3" t="n">
        <v>94.48</v>
      </c>
      <c r="R548" s="3" t="inlineStr"/>
    </row>
    <row r="549">
      <c r="A549" s="4" t="inlineStr">
        <is>
          <t>ORD-1548</t>
        </is>
      </c>
      <c r="B549" s="5" t="inlineStr">
        <is>
          <t>28-10-2024</t>
        </is>
      </c>
      <c r="C549" s="5" t="inlineStr">
        <is>
          <t>Oct-2024</t>
        </is>
      </c>
      <c r="D549" s="4" t="inlineStr">
        <is>
          <t>North</t>
        </is>
      </c>
      <c r="E549" s="4" t="inlineStr">
        <is>
          <t>Delhi</t>
        </is>
      </c>
      <c r="F549" s="5" t="inlineStr">
        <is>
          <t>Pooja Joshi</t>
        </is>
      </c>
      <c r="G549" s="5" t="inlineStr">
        <is>
          <t>Electronics</t>
        </is>
      </c>
      <c r="H549" s="4" t="inlineStr">
        <is>
          <t>Tablet</t>
        </is>
      </c>
      <c r="I549" s="4" t="n">
        <v>20</v>
      </c>
      <c r="J549" s="5" t="n">
        <v>546.33</v>
      </c>
      <c r="K549" s="5" t="n">
        <v>10926.6</v>
      </c>
      <c r="L549" s="5" t="n">
        <v>6555.96</v>
      </c>
      <c r="M549" s="4" t="n">
        <v>4370.64</v>
      </c>
      <c r="N549" s="4" t="inlineStr">
        <is>
          <t>Existing</t>
        </is>
      </c>
      <c r="O549" s="4" t="inlineStr">
        <is>
          <t>Online</t>
        </is>
      </c>
      <c r="P549" s="5" t="n">
        <v>11302.85</v>
      </c>
      <c r="Q549" s="5" t="n">
        <v>96.67</v>
      </c>
      <c r="R549" s="5" t="inlineStr"/>
    </row>
    <row r="550">
      <c r="A550" s="2" t="inlineStr">
        <is>
          <t>ORD-1549</t>
        </is>
      </c>
      <c r="B550" s="3" t="inlineStr">
        <is>
          <t>29-10-2024</t>
        </is>
      </c>
      <c r="C550" s="3" t="inlineStr">
        <is>
          <t>Oct-2024</t>
        </is>
      </c>
      <c r="D550" s="2" t="inlineStr">
        <is>
          <t>West</t>
        </is>
      </c>
      <c r="E550" s="2" t="inlineStr">
        <is>
          <t>Pune</t>
        </is>
      </c>
      <c r="F550" s="3" t="inlineStr">
        <is>
          <t>Deepa Nair</t>
        </is>
      </c>
      <c r="G550" s="3" t="inlineStr">
        <is>
          <t>Software</t>
        </is>
      </c>
      <c r="H550" s="2" t="inlineStr">
        <is>
          <t>Analytics Pro</t>
        </is>
      </c>
      <c r="I550" s="2" t="n">
        <v>10</v>
      </c>
      <c r="J550" s="3" t="n">
        <v>2394.6</v>
      </c>
      <c r="K550" s="3" t="n">
        <v>23946</v>
      </c>
      <c r="L550" s="3" t="n">
        <v>7183.8</v>
      </c>
      <c r="M550" s="2" t="n">
        <v>16762.2</v>
      </c>
      <c r="N550" s="2" t="inlineStr">
        <is>
          <t>New</t>
        </is>
      </c>
      <c r="O550" s="2" t="inlineStr">
        <is>
          <t>Offline</t>
        </is>
      </c>
      <c r="P550" s="3" t="n">
        <v>27860.83</v>
      </c>
      <c r="Q550" s="3" t="n">
        <v>85.95</v>
      </c>
      <c r="R550" s="3" t="inlineStr"/>
    </row>
    <row r="551">
      <c r="A551" s="4" t="inlineStr">
        <is>
          <t>ORD-1550</t>
        </is>
      </c>
      <c r="B551" s="5" t="inlineStr">
        <is>
          <t>29-10-2024</t>
        </is>
      </c>
      <c r="C551" s="5" t="inlineStr">
        <is>
          <t>Oct-2024</t>
        </is>
      </c>
      <c r="D551" s="4" t="inlineStr">
        <is>
          <t>East</t>
        </is>
      </c>
      <c r="E551" s="4" t="inlineStr">
        <is>
          <t>Kolkata</t>
        </is>
      </c>
      <c r="F551" s="5" t="inlineStr">
        <is>
          <t>Pooja Joshi</t>
        </is>
      </c>
      <c r="G551" s="5" t="inlineStr">
        <is>
          <t>Furniture</t>
        </is>
      </c>
      <c r="H551" s="4" t="inlineStr">
        <is>
          <t>Office Chair</t>
        </is>
      </c>
      <c r="I551" s="4" t="n">
        <v>10</v>
      </c>
      <c r="J551" s="5" t="n">
        <v>371.62</v>
      </c>
      <c r="K551" s="5" t="n">
        <v>3716.2</v>
      </c>
      <c r="L551" s="5" t="n">
        <v>2043.91</v>
      </c>
      <c r="M551" s="4" t="n">
        <v>1672.29</v>
      </c>
      <c r="N551" s="4" t="inlineStr">
        <is>
          <t>New</t>
        </is>
      </c>
      <c r="O551" s="4" t="inlineStr">
        <is>
          <t>Offline</t>
        </is>
      </c>
      <c r="P551" s="5" t="n">
        <v>3873.69</v>
      </c>
      <c r="Q551" s="5" t="n">
        <v>95.93000000000001</v>
      </c>
      <c r="R551" s="5" t="inlineStr"/>
    </row>
    <row r="552">
      <c r="A552" s="2" t="inlineStr">
        <is>
          <t>ORD-1551</t>
        </is>
      </c>
      <c r="B552" s="3" t="inlineStr">
        <is>
          <t>29-10-2024</t>
        </is>
      </c>
      <c r="C552" s="3" t="inlineStr">
        <is>
          <t>Oct-2024</t>
        </is>
      </c>
      <c r="D552" s="2" t="inlineStr">
        <is>
          <t>South</t>
        </is>
      </c>
      <c r="E552" s="2" t="inlineStr">
        <is>
          <t>Hyderabad</t>
        </is>
      </c>
      <c r="F552" s="3" t="inlineStr">
        <is>
          <t>Priya Patel</t>
        </is>
      </c>
      <c r="G552" s="3" t="inlineStr">
        <is>
          <t>Apparel</t>
        </is>
      </c>
      <c r="H552" s="2" t="inlineStr">
        <is>
          <t>T-Shirt</t>
        </is>
      </c>
      <c r="I552" s="2" t="n">
        <v>5</v>
      </c>
      <c r="J552" s="3" t="n">
        <v>40.93</v>
      </c>
      <c r="K552" s="3" t="n">
        <v>204.65</v>
      </c>
      <c r="L552" s="3" t="n">
        <v>92.09</v>
      </c>
      <c r="M552" s="2" t="n">
        <v>112.56</v>
      </c>
      <c r="N552" s="2" t="inlineStr">
        <is>
          <t>Existing</t>
        </is>
      </c>
      <c r="O552" s="2" t="inlineStr">
        <is>
          <t>Offline</t>
        </is>
      </c>
      <c r="P552" s="3" t="n">
        <v>165.17</v>
      </c>
      <c r="Q552" s="3" t="n">
        <v>123.9</v>
      </c>
      <c r="R552" s="3" t="inlineStr"/>
    </row>
    <row r="553">
      <c r="A553" s="4" t="inlineStr">
        <is>
          <t>ORD-1552</t>
        </is>
      </c>
      <c r="B553" s="5" t="inlineStr">
        <is>
          <t>30-10-2024</t>
        </is>
      </c>
      <c r="C553" s="5" t="inlineStr">
        <is>
          <t>Oct-2024</t>
        </is>
      </c>
      <c r="D553" s="4" t="inlineStr">
        <is>
          <t>South</t>
        </is>
      </c>
      <c r="E553" s="4" t="inlineStr">
        <is>
          <t>Hyderabad</t>
        </is>
      </c>
      <c r="F553" s="5" t="inlineStr">
        <is>
          <t>Arjun Mehta</t>
        </is>
      </c>
      <c r="G553" s="5" t="inlineStr">
        <is>
          <t>Software</t>
        </is>
      </c>
      <c r="H553" s="4" t="inlineStr">
        <is>
          <t>Analytics Pro</t>
        </is>
      </c>
      <c r="I553" s="4" t="n">
        <v>6</v>
      </c>
      <c r="J553" s="5" t="n">
        <v>2380.63</v>
      </c>
      <c r="K553" s="5" t="n">
        <v>14283.78</v>
      </c>
      <c r="L553" s="5" t="n">
        <v>4285.13</v>
      </c>
      <c r="M553" s="4" t="n">
        <v>9998.65</v>
      </c>
      <c r="N553" s="4" t="inlineStr">
        <is>
          <t>New</t>
        </is>
      </c>
      <c r="O553" s="4" t="inlineStr">
        <is>
          <t>Offline</t>
        </is>
      </c>
      <c r="P553" s="5" t="n">
        <v>12718.34</v>
      </c>
      <c r="Q553" s="5" t="n">
        <v>112.31</v>
      </c>
      <c r="R553" s="5" t="inlineStr"/>
    </row>
    <row r="554">
      <c r="A554" s="2" t="inlineStr">
        <is>
          <t>ORD-1553</t>
        </is>
      </c>
      <c r="B554" s="3" t="inlineStr">
        <is>
          <t>31-10-2024</t>
        </is>
      </c>
      <c r="C554" s="3" t="inlineStr">
        <is>
          <t>Oct-2024</t>
        </is>
      </c>
      <c r="D554" s="2" t="inlineStr">
        <is>
          <t>North</t>
        </is>
      </c>
      <c r="E554" s="2" t="inlineStr">
        <is>
          <t>Chandigarh</t>
        </is>
      </c>
      <c r="F554" s="3" t="inlineStr">
        <is>
          <t>Priya Patel</t>
        </is>
      </c>
      <c r="G554" s="3" t="inlineStr">
        <is>
          <t>Furniture</t>
        </is>
      </c>
      <c r="H554" s="2" t="inlineStr">
        <is>
          <t>Desk</t>
        </is>
      </c>
      <c r="I554" s="2" t="n">
        <v>16</v>
      </c>
      <c r="J554" s="3" t="n">
        <v>472.75</v>
      </c>
      <c r="K554" s="3" t="n">
        <v>7564</v>
      </c>
      <c r="L554" s="3" t="n">
        <v>4160.2</v>
      </c>
      <c r="M554" s="2" t="n">
        <v>3403.8</v>
      </c>
      <c r="N554" s="2" t="inlineStr">
        <is>
          <t>Existing</t>
        </is>
      </c>
      <c r="O554" s="2" t="inlineStr">
        <is>
          <t>Offline</t>
        </is>
      </c>
      <c r="P554" s="3" t="n">
        <v>6951.12</v>
      </c>
      <c r="Q554" s="3" t="n">
        <v>108.82</v>
      </c>
      <c r="R554" s="3" t="inlineStr"/>
    </row>
    <row r="555">
      <c r="A555" s="4" t="inlineStr">
        <is>
          <t>ORD-1554</t>
        </is>
      </c>
      <c r="B555" s="5" t="inlineStr">
        <is>
          <t>31-10-2024</t>
        </is>
      </c>
      <c r="C555" s="5" t="inlineStr">
        <is>
          <t>Oct-2024</t>
        </is>
      </c>
      <c r="D555" s="4" t="inlineStr">
        <is>
          <t>West</t>
        </is>
      </c>
      <c r="E555" s="4" t="inlineStr">
        <is>
          <t>Pune</t>
        </is>
      </c>
      <c r="F555" s="5" t="inlineStr">
        <is>
          <t>Arjun Mehta</t>
        </is>
      </c>
      <c r="G555" s="5" t="inlineStr">
        <is>
          <t>Furniture</t>
        </is>
      </c>
      <c r="H555" s="4" t="inlineStr">
        <is>
          <t>Bookshelf</t>
        </is>
      </c>
      <c r="I555" s="4" t="n">
        <v>2</v>
      </c>
      <c r="J555" s="5" t="n">
        <v>205.69</v>
      </c>
      <c r="K555" s="5" t="n">
        <v>411.38</v>
      </c>
      <c r="L555" s="5" t="n">
        <v>226.26</v>
      </c>
      <c r="M555" s="4" t="n">
        <v>185.12</v>
      </c>
      <c r="N555" s="4" t="inlineStr">
        <is>
          <t>New</t>
        </is>
      </c>
      <c r="O555" s="4" t="inlineStr">
        <is>
          <t>Online</t>
        </is>
      </c>
      <c r="P555" s="5" t="n">
        <v>363.58</v>
      </c>
      <c r="Q555" s="5" t="n">
        <v>113.15</v>
      </c>
      <c r="R555" s="5" t="inlineStr"/>
    </row>
    <row r="556">
      <c r="A556" s="2" t="inlineStr">
        <is>
          <t>ORD-1555</t>
        </is>
      </c>
      <c r="B556" s="3" t="inlineStr">
        <is>
          <t>31-10-2024</t>
        </is>
      </c>
      <c r="C556" s="3" t="inlineStr">
        <is>
          <t>Oct-2024</t>
        </is>
      </c>
      <c r="D556" s="2" t="inlineStr">
        <is>
          <t>West</t>
        </is>
      </c>
      <c r="E556" s="2" t="inlineStr">
        <is>
          <t>Ahmedabad</t>
        </is>
      </c>
      <c r="F556" s="3" t="inlineStr">
        <is>
          <t>Vikram Singh</t>
        </is>
      </c>
      <c r="G556" s="3" t="inlineStr">
        <is>
          <t>Software</t>
        </is>
      </c>
      <c r="H556" s="2" t="inlineStr">
        <is>
          <t>CRM Tool</t>
        </is>
      </c>
      <c r="I556" s="2" t="n">
        <v>13</v>
      </c>
      <c r="J556" s="3" t="n">
        <v>3110.11</v>
      </c>
      <c r="K556" s="3" t="n">
        <v>40431.43</v>
      </c>
      <c r="L556" s="3" t="n">
        <v>12129.43</v>
      </c>
      <c r="M556" s="2" t="n">
        <v>28302</v>
      </c>
      <c r="N556" s="2" t="inlineStr">
        <is>
          <t>Existing</t>
        </is>
      </c>
      <c r="O556" s="2" t="inlineStr">
        <is>
          <t>Offline</t>
        </is>
      </c>
      <c r="P556" s="3" t="n">
        <v>37654.3</v>
      </c>
      <c r="Q556" s="3" t="n">
        <v>107.38</v>
      </c>
      <c r="R556" s="3" t="inlineStr"/>
    </row>
    <row r="557">
      <c r="A557" s="4" t="inlineStr">
        <is>
          <t>ORD-1556</t>
        </is>
      </c>
      <c r="B557" s="5" t="inlineStr">
        <is>
          <t>01-11-2024</t>
        </is>
      </c>
      <c r="C557" s="5" t="inlineStr">
        <is>
          <t>Nov-2024</t>
        </is>
      </c>
      <c r="D557" s="4" t="inlineStr">
        <is>
          <t>West</t>
        </is>
      </c>
      <c r="E557" s="4" t="inlineStr">
        <is>
          <t>Mumbai</t>
        </is>
      </c>
      <c r="F557" s="5" t="inlineStr">
        <is>
          <t>Vikram Singh</t>
        </is>
      </c>
      <c r="G557" s="5" t="inlineStr">
        <is>
          <t>Software</t>
        </is>
      </c>
      <c r="H557" s="4" t="inlineStr">
        <is>
          <t>HR System</t>
        </is>
      </c>
      <c r="I557" s="4" t="n">
        <v>11</v>
      </c>
      <c r="J557" s="5" t="n">
        <v>2184.71</v>
      </c>
      <c r="K557" s="5" t="n">
        <v>24031.81</v>
      </c>
      <c r="L557" s="5" t="n">
        <v>7209.54</v>
      </c>
      <c r="M557" s="4" t="n">
        <v>16822.27</v>
      </c>
      <c r="N557" s="4" t="inlineStr">
        <is>
          <t>New</t>
        </is>
      </c>
      <c r="O557" s="4" t="inlineStr">
        <is>
          <t>Online</t>
        </is>
      </c>
      <c r="P557" s="5" t="n">
        <v>30252.59</v>
      </c>
      <c r="Q557" s="5" t="n">
        <v>79.44</v>
      </c>
      <c r="R557" s="5" t="inlineStr"/>
    </row>
    <row r="558">
      <c r="A558" s="2" t="inlineStr">
        <is>
          <t>ORD-1557</t>
        </is>
      </c>
      <c r="B558" s="3" t="inlineStr">
        <is>
          <t>01-11-2024</t>
        </is>
      </c>
      <c r="C558" s="3" t="inlineStr">
        <is>
          <t>Nov-2024</t>
        </is>
      </c>
      <c r="D558" s="2" t="inlineStr">
        <is>
          <t>East</t>
        </is>
      </c>
      <c r="E558" s="2" t="inlineStr">
        <is>
          <t>Bhubaneswar</t>
        </is>
      </c>
      <c r="F558" s="3" t="inlineStr">
        <is>
          <t>Kavita Rao</t>
        </is>
      </c>
      <c r="G558" s="3" t="inlineStr">
        <is>
          <t>Apparel</t>
        </is>
      </c>
      <c r="H558" s="2" t="inlineStr">
        <is>
          <t>T-Shirt</t>
        </is>
      </c>
      <c r="I558" s="2" t="n">
        <v>9</v>
      </c>
      <c r="J558" s="3" t="n">
        <v>38.14</v>
      </c>
      <c r="K558" s="3" t="n">
        <v>343.26</v>
      </c>
      <c r="L558" s="3" t="n">
        <v>154.47</v>
      </c>
      <c r="M558" s="2" t="n">
        <v>188.79</v>
      </c>
      <c r="N558" s="2" t="inlineStr">
        <is>
          <t>New</t>
        </is>
      </c>
      <c r="O558" s="2" t="inlineStr">
        <is>
          <t>Offline</t>
        </is>
      </c>
      <c r="P558" s="3" t="n">
        <v>386.91</v>
      </c>
      <c r="Q558" s="3" t="n">
        <v>88.72</v>
      </c>
      <c r="R558" s="3" t="inlineStr"/>
    </row>
    <row r="559">
      <c r="A559" s="4" t="inlineStr">
        <is>
          <t>ORD-1558</t>
        </is>
      </c>
      <c r="B559" s="5" t="inlineStr">
        <is>
          <t>01-11-2024</t>
        </is>
      </c>
      <c r="C559" s="5" t="inlineStr">
        <is>
          <t>Nov-2024</t>
        </is>
      </c>
      <c r="D559" s="4" t="inlineStr">
        <is>
          <t>West</t>
        </is>
      </c>
      <c r="E559" s="4" t="inlineStr">
        <is>
          <t>Ahmedabad</t>
        </is>
      </c>
      <c r="F559" s="5" t="inlineStr">
        <is>
          <t>Sneha Reddy</t>
        </is>
      </c>
      <c r="G559" s="5" t="inlineStr">
        <is>
          <t>Furniture</t>
        </is>
      </c>
      <c r="H559" s="4" t="inlineStr">
        <is>
          <t>Bookshelf</t>
        </is>
      </c>
      <c r="I559" s="4" t="n">
        <v>6</v>
      </c>
      <c r="J559" s="5" t="n">
        <v>192.53</v>
      </c>
      <c r="K559" s="5" t="n">
        <v>1155.18</v>
      </c>
      <c r="L559" s="5" t="n">
        <v>635.35</v>
      </c>
      <c r="M559" s="4" t="n">
        <v>519.83</v>
      </c>
      <c r="N559" s="4" t="inlineStr">
        <is>
          <t>New</t>
        </is>
      </c>
      <c r="O559" s="4" t="inlineStr">
        <is>
          <t>Online</t>
        </is>
      </c>
      <c r="P559" s="5" t="n">
        <v>1404.52</v>
      </c>
      <c r="Q559" s="5" t="n">
        <v>82.25</v>
      </c>
      <c r="R559" s="5" t="inlineStr"/>
    </row>
    <row r="560">
      <c r="A560" s="2" t="inlineStr">
        <is>
          <t>ORD-1559</t>
        </is>
      </c>
      <c r="B560" s="3" t="inlineStr">
        <is>
          <t>02-11-2024</t>
        </is>
      </c>
      <c r="C560" s="3" t="inlineStr">
        <is>
          <t>Nov-2024</t>
        </is>
      </c>
      <c r="D560" s="2" t="inlineStr">
        <is>
          <t>West</t>
        </is>
      </c>
      <c r="E560" s="2" t="inlineStr">
        <is>
          <t>Mumbai</t>
        </is>
      </c>
      <c r="F560" s="3" t="inlineStr">
        <is>
          <t>Ravi Verma</t>
        </is>
      </c>
      <c r="G560" s="3" t="inlineStr">
        <is>
          <t>Electronics</t>
        </is>
      </c>
      <c r="H560" s="2" t="inlineStr">
        <is>
          <t>Smartwatch</t>
        </is>
      </c>
      <c r="I560" s="2" t="n">
        <v>12</v>
      </c>
      <c r="J560" s="3" t="n">
        <v>283.16</v>
      </c>
      <c r="K560" s="3" t="n">
        <v>3397.92</v>
      </c>
      <c r="L560" s="3" t="n">
        <v>2038.75</v>
      </c>
      <c r="M560" s="2" t="n">
        <v>1359.17</v>
      </c>
      <c r="N560" s="2" t="inlineStr">
        <is>
          <t>Existing</t>
        </is>
      </c>
      <c r="O560" s="2" t="inlineStr">
        <is>
          <t>Offline</t>
        </is>
      </c>
      <c r="P560" s="3" t="n">
        <v>3046.37</v>
      </c>
      <c r="Q560" s="3" t="n">
        <v>111.54</v>
      </c>
      <c r="R560" s="3" t="inlineStr"/>
    </row>
    <row r="561">
      <c r="A561" s="4" t="inlineStr">
        <is>
          <t>ORD-1560</t>
        </is>
      </c>
      <c r="B561" s="5" t="inlineStr">
        <is>
          <t>04-11-2024</t>
        </is>
      </c>
      <c r="C561" s="5" t="inlineStr">
        <is>
          <t>Nov-2024</t>
        </is>
      </c>
      <c r="D561" s="4" t="inlineStr">
        <is>
          <t>North</t>
        </is>
      </c>
      <c r="E561" s="4" t="inlineStr">
        <is>
          <t>Delhi</t>
        </is>
      </c>
      <c r="F561" s="5" t="inlineStr">
        <is>
          <t>Kavita Rao</t>
        </is>
      </c>
      <c r="G561" s="5" t="inlineStr">
        <is>
          <t>Furniture</t>
        </is>
      </c>
      <c r="H561" s="4" t="inlineStr">
        <is>
          <t>Office Chair</t>
        </is>
      </c>
      <c r="I561" s="4" t="n">
        <v>4</v>
      </c>
      <c r="J561" s="5" t="n">
        <v>321.05</v>
      </c>
      <c r="K561" s="5" t="n">
        <v>1284.2</v>
      </c>
      <c r="L561" s="5" t="n">
        <v>706.3099999999999</v>
      </c>
      <c r="M561" s="4" t="n">
        <v>577.89</v>
      </c>
      <c r="N561" s="4" t="inlineStr">
        <is>
          <t>New</t>
        </is>
      </c>
      <c r="O561" s="4" t="inlineStr">
        <is>
          <t>Offline</t>
        </is>
      </c>
      <c r="P561" s="5" t="n">
        <v>1448.83</v>
      </c>
      <c r="Q561" s="5" t="n">
        <v>88.64</v>
      </c>
      <c r="R561" s="5" t="inlineStr"/>
    </row>
    <row r="562">
      <c r="A562" s="2" t="inlineStr">
        <is>
          <t>ORD-1561</t>
        </is>
      </c>
      <c r="B562" s="3" t="inlineStr">
        <is>
          <t>04-11-2024</t>
        </is>
      </c>
      <c r="C562" s="3" t="inlineStr">
        <is>
          <t>Nov-2024</t>
        </is>
      </c>
      <c r="D562" s="2" t="inlineStr">
        <is>
          <t>South</t>
        </is>
      </c>
      <c r="E562" s="2" t="inlineStr">
        <is>
          <t>Chennai</t>
        </is>
      </c>
      <c r="F562" s="3" t="inlineStr">
        <is>
          <t>Arjun Mehta</t>
        </is>
      </c>
      <c r="G562" s="3" t="inlineStr">
        <is>
          <t>Apparel</t>
        </is>
      </c>
      <c r="H562" s="2" t="inlineStr">
        <is>
          <t>T-Shirt</t>
        </is>
      </c>
      <c r="I562" s="2" t="n">
        <v>15</v>
      </c>
      <c r="J562" s="3" t="n">
        <v>41.28</v>
      </c>
      <c r="K562" s="3" t="n">
        <v>619.2</v>
      </c>
      <c r="L562" s="3" t="n">
        <v>278.64</v>
      </c>
      <c r="M562" s="2" t="n">
        <v>340.56</v>
      </c>
      <c r="N562" s="2" t="inlineStr">
        <is>
          <t>New</t>
        </is>
      </c>
      <c r="O562" s="2" t="inlineStr">
        <is>
          <t>Offline</t>
        </is>
      </c>
      <c r="P562" s="3" t="n">
        <v>781.03</v>
      </c>
      <c r="Q562" s="3" t="n">
        <v>79.28</v>
      </c>
      <c r="R562" s="3" t="inlineStr"/>
    </row>
    <row r="563">
      <c r="A563" s="4" t="inlineStr">
        <is>
          <t>ORD-1562</t>
        </is>
      </c>
      <c r="B563" s="5" t="inlineStr">
        <is>
          <t>04-11-2024</t>
        </is>
      </c>
      <c r="C563" s="5" t="inlineStr">
        <is>
          <t>Nov-2024</t>
        </is>
      </c>
      <c r="D563" s="4" t="inlineStr">
        <is>
          <t>East</t>
        </is>
      </c>
      <c r="E563" s="4" t="inlineStr">
        <is>
          <t>Bhubaneswar</t>
        </is>
      </c>
      <c r="F563" s="5" t="inlineStr">
        <is>
          <t>Deepa Nair</t>
        </is>
      </c>
      <c r="G563" s="5" t="inlineStr">
        <is>
          <t>Apparel</t>
        </is>
      </c>
      <c r="H563" s="4" t="inlineStr">
        <is>
          <t>Formal Shirt</t>
        </is>
      </c>
      <c r="I563" s="4" t="n">
        <v>3</v>
      </c>
      <c r="J563" s="5" t="n">
        <v>76.44</v>
      </c>
      <c r="K563" s="5" t="n">
        <v>229.32</v>
      </c>
      <c r="L563" s="5" t="n">
        <v>103.19</v>
      </c>
      <c r="M563" s="4" t="n">
        <v>126.13</v>
      </c>
      <c r="N563" s="4" t="inlineStr">
        <is>
          <t>New</t>
        </is>
      </c>
      <c r="O563" s="4" t="inlineStr">
        <is>
          <t>Offline</t>
        </is>
      </c>
      <c r="P563" s="5" t="n">
        <v>228.01</v>
      </c>
      <c r="Q563" s="5" t="n">
        <v>100.57</v>
      </c>
      <c r="R563" s="5" t="inlineStr"/>
    </row>
    <row r="564">
      <c r="A564" s="2" t="inlineStr">
        <is>
          <t>ORD-1563</t>
        </is>
      </c>
      <c r="B564" s="3" t="inlineStr">
        <is>
          <t>05-11-2024</t>
        </is>
      </c>
      <c r="C564" s="3" t="inlineStr">
        <is>
          <t>Nov-2024</t>
        </is>
      </c>
      <c r="D564" s="2" t="inlineStr">
        <is>
          <t>East</t>
        </is>
      </c>
      <c r="E564" s="2" t="inlineStr">
        <is>
          <t>Bhubaneswar</t>
        </is>
      </c>
      <c r="F564" s="3" t="inlineStr">
        <is>
          <t>Arjun Mehta</t>
        </is>
      </c>
      <c r="G564" s="3" t="inlineStr">
        <is>
          <t>Software</t>
        </is>
      </c>
      <c r="H564" s="2" t="inlineStr">
        <is>
          <t>ERP Suite</t>
        </is>
      </c>
      <c r="I564" s="2" t="n">
        <v>16</v>
      </c>
      <c r="J564" s="3" t="n">
        <v>5479.42</v>
      </c>
      <c r="K564" s="3" t="n">
        <v>87670.72</v>
      </c>
      <c r="L564" s="3" t="n">
        <v>26301.22</v>
      </c>
      <c r="M564" s="2" t="n">
        <v>61369.5</v>
      </c>
      <c r="N564" s="2" t="inlineStr">
        <is>
          <t>New</t>
        </is>
      </c>
      <c r="O564" s="2" t="inlineStr">
        <is>
          <t>Offline</t>
        </is>
      </c>
      <c r="P564" s="3" t="n">
        <v>77958.64999999999</v>
      </c>
      <c r="Q564" s="3" t="n">
        <v>112.46</v>
      </c>
      <c r="R564" s="3" t="inlineStr"/>
    </row>
    <row r="565">
      <c r="A565" s="4" t="inlineStr">
        <is>
          <t>ORD-1564</t>
        </is>
      </c>
      <c r="B565" s="5" t="inlineStr">
        <is>
          <t>06-11-2024</t>
        </is>
      </c>
      <c r="C565" s="5" t="inlineStr">
        <is>
          <t>Nov-2024</t>
        </is>
      </c>
      <c r="D565" s="4" t="inlineStr">
        <is>
          <t>North</t>
        </is>
      </c>
      <c r="E565" s="4" t="inlineStr">
        <is>
          <t>Delhi</t>
        </is>
      </c>
      <c r="F565" s="5" t="inlineStr">
        <is>
          <t>Ravi Verma</t>
        </is>
      </c>
      <c r="G565" s="5" t="inlineStr">
        <is>
          <t>Software</t>
        </is>
      </c>
      <c r="H565" s="4" t="inlineStr">
        <is>
          <t>CRM Tool</t>
        </is>
      </c>
      <c r="I565" s="4" t="n">
        <v>20</v>
      </c>
      <c r="J565" s="5" t="n">
        <v>3086</v>
      </c>
      <c r="K565" s="5" t="n">
        <v>61720</v>
      </c>
      <c r="L565" s="5" t="n">
        <v>18516</v>
      </c>
      <c r="M565" s="4" t="n">
        <v>43204</v>
      </c>
      <c r="N565" s="4" t="inlineStr">
        <is>
          <t>Existing</t>
        </is>
      </c>
      <c r="O565" s="4" t="inlineStr">
        <is>
          <t>Offline</t>
        </is>
      </c>
      <c r="P565" s="5" t="n">
        <v>52563.44</v>
      </c>
      <c r="Q565" s="5" t="n">
        <v>117.42</v>
      </c>
      <c r="R565" s="5" t="inlineStr"/>
    </row>
    <row r="566">
      <c r="A566" s="2" t="inlineStr">
        <is>
          <t>ORD-1565</t>
        </is>
      </c>
      <c r="B566" s="3" t="inlineStr">
        <is>
          <t>06-11-2024</t>
        </is>
      </c>
      <c r="C566" s="3" t="inlineStr">
        <is>
          <t>Nov-2024</t>
        </is>
      </c>
      <c r="D566" s="2" t="inlineStr">
        <is>
          <t>North</t>
        </is>
      </c>
      <c r="E566" s="2" t="inlineStr">
        <is>
          <t>Delhi</t>
        </is>
      </c>
      <c r="F566" s="3" t="inlineStr">
        <is>
          <t>Kavita Rao</t>
        </is>
      </c>
      <c r="G566" s="3" t="inlineStr">
        <is>
          <t>Apparel</t>
        </is>
      </c>
      <c r="H566" s="2" t="inlineStr">
        <is>
          <t>Trousers</t>
        </is>
      </c>
      <c r="I566" s="2" t="n">
        <v>1</v>
      </c>
      <c r="J566" s="3" t="n">
        <v>75.55</v>
      </c>
      <c r="K566" s="3" t="n">
        <v>75.55</v>
      </c>
      <c r="L566" s="3" t="n">
        <v>34</v>
      </c>
      <c r="M566" s="2" t="n">
        <v>41.55</v>
      </c>
      <c r="N566" s="2" t="inlineStr">
        <is>
          <t>New</t>
        </is>
      </c>
      <c r="O566" s="2" t="inlineStr">
        <is>
          <t>Online</t>
        </is>
      </c>
      <c r="P566" s="3" t="n">
        <v>95.68000000000001</v>
      </c>
      <c r="Q566" s="3" t="n">
        <v>78.95999999999999</v>
      </c>
      <c r="R566" s="3" t="inlineStr"/>
    </row>
    <row r="567">
      <c r="A567" s="4" t="inlineStr">
        <is>
          <t>ORD-1566</t>
        </is>
      </c>
      <c r="B567" s="5" t="inlineStr">
        <is>
          <t>07-11-2024</t>
        </is>
      </c>
      <c r="C567" s="5" t="inlineStr">
        <is>
          <t>Nov-2024</t>
        </is>
      </c>
      <c r="D567" s="4" t="inlineStr">
        <is>
          <t>West</t>
        </is>
      </c>
      <c r="E567" s="4" t="inlineStr">
        <is>
          <t>Ahmedabad</t>
        </is>
      </c>
      <c r="F567" s="5" t="inlineStr">
        <is>
          <t>Arjun Mehta</t>
        </is>
      </c>
      <c r="G567" s="5" t="inlineStr">
        <is>
          <t>Apparel</t>
        </is>
      </c>
      <c r="H567" s="4" t="inlineStr">
        <is>
          <t>Trousers</t>
        </is>
      </c>
      <c r="I567" s="4" t="n">
        <v>19</v>
      </c>
      <c r="J567" s="5" t="n">
        <v>63.05</v>
      </c>
      <c r="K567" s="5" t="n">
        <v>1197.95</v>
      </c>
      <c r="L567" s="5" t="n">
        <v>539.08</v>
      </c>
      <c r="M567" s="4" t="n">
        <v>658.87</v>
      </c>
      <c r="N567" s="4" t="inlineStr">
        <is>
          <t>Existing</t>
        </is>
      </c>
      <c r="O567" s="4" t="inlineStr">
        <is>
          <t>Offline</t>
        </is>
      </c>
      <c r="P567" s="5" t="n">
        <v>1219.55</v>
      </c>
      <c r="Q567" s="5" t="n">
        <v>98.23</v>
      </c>
      <c r="R567" s="5" t="inlineStr"/>
    </row>
    <row r="568">
      <c r="A568" s="2" t="inlineStr">
        <is>
          <t>ORD-1567</t>
        </is>
      </c>
      <c r="B568" s="3" t="inlineStr">
        <is>
          <t>07-11-2024</t>
        </is>
      </c>
      <c r="C568" s="3" t="inlineStr">
        <is>
          <t>Nov-2024</t>
        </is>
      </c>
      <c r="D568" s="2" t="inlineStr">
        <is>
          <t>North</t>
        </is>
      </c>
      <c r="E568" s="2" t="inlineStr">
        <is>
          <t>Lucknow</t>
        </is>
      </c>
      <c r="F568" s="3" t="inlineStr">
        <is>
          <t>Sneha Reddy</t>
        </is>
      </c>
      <c r="G568" s="3" t="inlineStr">
        <is>
          <t>Electronics</t>
        </is>
      </c>
      <c r="H568" s="2" t="inlineStr">
        <is>
          <t>Smartwatch</t>
        </is>
      </c>
      <c r="I568" s="2" t="n">
        <v>16</v>
      </c>
      <c r="J568" s="3" t="n">
        <v>277.27</v>
      </c>
      <c r="K568" s="3" t="n">
        <v>4436.32</v>
      </c>
      <c r="L568" s="3" t="n">
        <v>2661.79</v>
      </c>
      <c r="M568" s="2" t="n">
        <v>1774.53</v>
      </c>
      <c r="N568" s="2" t="inlineStr">
        <is>
          <t>Existing</t>
        </is>
      </c>
      <c r="O568" s="2" t="inlineStr">
        <is>
          <t>Offline</t>
        </is>
      </c>
      <c r="P568" s="3" t="n">
        <v>5061.48</v>
      </c>
      <c r="Q568" s="3" t="n">
        <v>87.65000000000001</v>
      </c>
      <c r="R568" s="3" t="inlineStr"/>
    </row>
    <row r="569">
      <c r="A569" s="4" t="inlineStr">
        <is>
          <t>ORD-1568</t>
        </is>
      </c>
      <c r="B569" s="5" t="inlineStr">
        <is>
          <t>07-11-2024</t>
        </is>
      </c>
      <c r="C569" s="5" t="inlineStr">
        <is>
          <t>Nov-2024</t>
        </is>
      </c>
      <c r="D569" s="4" t="inlineStr">
        <is>
          <t>West</t>
        </is>
      </c>
      <c r="E569" s="4" t="inlineStr">
        <is>
          <t>Mumbai</t>
        </is>
      </c>
      <c r="F569" s="5" t="inlineStr">
        <is>
          <t>Priya Patel</t>
        </is>
      </c>
      <c r="G569" s="5" t="inlineStr">
        <is>
          <t>Apparel</t>
        </is>
      </c>
      <c r="H569" s="4" t="inlineStr">
        <is>
          <t>T-Shirt</t>
        </is>
      </c>
      <c r="I569" s="4" t="n">
        <v>3</v>
      </c>
      <c r="J569" s="5" t="n">
        <v>42.73</v>
      </c>
      <c r="K569" s="5" t="n">
        <v>128.19</v>
      </c>
      <c r="L569" s="5" t="n">
        <v>57.69</v>
      </c>
      <c r="M569" s="4" t="n">
        <v>70.5</v>
      </c>
      <c r="N569" s="4" t="inlineStr">
        <is>
          <t>Existing</t>
        </is>
      </c>
      <c r="O569" s="4" t="inlineStr">
        <is>
          <t>Online</t>
        </is>
      </c>
      <c r="P569" s="5" t="n">
        <v>113.87</v>
      </c>
      <c r="Q569" s="5" t="n">
        <v>112.58</v>
      </c>
      <c r="R569" s="5" t="inlineStr"/>
    </row>
    <row r="570">
      <c r="A570" s="2" t="inlineStr">
        <is>
          <t>ORD-1569</t>
        </is>
      </c>
      <c r="B570" s="3" t="inlineStr">
        <is>
          <t>08-11-2024</t>
        </is>
      </c>
      <c r="C570" s="3" t="inlineStr">
        <is>
          <t>Nov-2024</t>
        </is>
      </c>
      <c r="D570" s="2" t="inlineStr">
        <is>
          <t>West</t>
        </is>
      </c>
      <c r="E570" s="2" t="inlineStr">
        <is>
          <t>Pune</t>
        </is>
      </c>
      <c r="F570" s="3" t="inlineStr">
        <is>
          <t>Sneha Reddy</t>
        </is>
      </c>
      <c r="G570" s="3" t="inlineStr">
        <is>
          <t>Apparel</t>
        </is>
      </c>
      <c r="H570" s="2" t="inlineStr">
        <is>
          <t>Trousers</t>
        </is>
      </c>
      <c r="I570" s="2" t="n">
        <v>4</v>
      </c>
      <c r="J570" s="3" t="n">
        <v>71.83</v>
      </c>
      <c r="K570" s="3" t="n">
        <v>287.32</v>
      </c>
      <c r="L570" s="3" t="n">
        <v>129.29</v>
      </c>
      <c r="M570" s="2" t="n">
        <v>158.03</v>
      </c>
      <c r="N570" s="2" t="inlineStr">
        <is>
          <t>Existing</t>
        </is>
      </c>
      <c r="O570" s="2" t="inlineStr">
        <is>
          <t>Offline</t>
        </is>
      </c>
      <c r="P570" s="3" t="n">
        <v>242.05</v>
      </c>
      <c r="Q570" s="3" t="n">
        <v>118.7</v>
      </c>
      <c r="R570" s="3" t="inlineStr"/>
    </row>
    <row r="571">
      <c r="A571" s="4" t="inlineStr">
        <is>
          <t>ORD-1570</t>
        </is>
      </c>
      <c r="B571" s="5" t="inlineStr">
        <is>
          <t>09-11-2024</t>
        </is>
      </c>
      <c r="C571" s="5" t="inlineStr">
        <is>
          <t>Nov-2024</t>
        </is>
      </c>
      <c r="D571" s="4" t="inlineStr">
        <is>
          <t>West</t>
        </is>
      </c>
      <c r="E571" s="4" t="inlineStr">
        <is>
          <t>Pune</t>
        </is>
      </c>
      <c r="F571" s="5" t="inlineStr">
        <is>
          <t>Sneha Reddy</t>
        </is>
      </c>
      <c r="G571" s="5" t="inlineStr">
        <is>
          <t>Furniture</t>
        </is>
      </c>
      <c r="H571" s="4" t="inlineStr">
        <is>
          <t>Office Chair</t>
        </is>
      </c>
      <c r="I571" s="4" t="n">
        <v>7</v>
      </c>
      <c r="J571" s="5" t="n">
        <v>316.78</v>
      </c>
      <c r="K571" s="5" t="n">
        <v>2217.46</v>
      </c>
      <c r="L571" s="5" t="n">
        <v>1219.6</v>
      </c>
      <c r="M571" s="4" t="n">
        <v>997.86</v>
      </c>
      <c r="N571" s="4" t="inlineStr">
        <is>
          <t>New</t>
        </is>
      </c>
      <c r="O571" s="4" t="inlineStr">
        <is>
          <t>Offline</t>
        </is>
      </c>
      <c r="P571" s="5" t="n">
        <v>2205.01</v>
      </c>
      <c r="Q571" s="5" t="n">
        <v>100.56</v>
      </c>
      <c r="R571" s="5" t="inlineStr"/>
    </row>
    <row r="572">
      <c r="A572" s="2" t="inlineStr">
        <is>
          <t>ORD-1571</t>
        </is>
      </c>
      <c r="B572" s="3" t="inlineStr">
        <is>
          <t>09-11-2024</t>
        </is>
      </c>
      <c r="C572" s="3" t="inlineStr">
        <is>
          <t>Nov-2024</t>
        </is>
      </c>
      <c r="D572" s="2" t="inlineStr">
        <is>
          <t>East</t>
        </is>
      </c>
      <c r="E572" s="2" t="inlineStr">
        <is>
          <t>Bhubaneswar</t>
        </is>
      </c>
      <c r="F572" s="3" t="inlineStr">
        <is>
          <t>Ravi Verma</t>
        </is>
      </c>
      <c r="G572" s="3" t="inlineStr">
        <is>
          <t>Software</t>
        </is>
      </c>
      <c r="H572" s="2" t="inlineStr">
        <is>
          <t>ERP Suite</t>
        </is>
      </c>
      <c r="I572" s="2" t="n">
        <v>2</v>
      </c>
      <c r="J572" s="3" t="n">
        <v>4839.29</v>
      </c>
      <c r="K572" s="3" t="n">
        <v>9678.58</v>
      </c>
      <c r="L572" s="3" t="n">
        <v>2903.57</v>
      </c>
      <c r="M572" s="2" t="n">
        <v>6775.01</v>
      </c>
      <c r="N572" s="2" t="inlineStr">
        <is>
          <t>Existing</t>
        </is>
      </c>
      <c r="O572" s="2" t="inlineStr">
        <is>
          <t>Online</t>
        </is>
      </c>
      <c r="P572" s="3" t="n">
        <v>9705.23</v>
      </c>
      <c r="Q572" s="3" t="n">
        <v>99.73</v>
      </c>
      <c r="R572" s="3" t="inlineStr"/>
    </row>
    <row r="573">
      <c r="A573" s="4" t="inlineStr">
        <is>
          <t>ORD-1572</t>
        </is>
      </c>
      <c r="B573" s="5" t="inlineStr">
        <is>
          <t>09-11-2024</t>
        </is>
      </c>
      <c r="C573" s="5" t="inlineStr">
        <is>
          <t>Nov-2024</t>
        </is>
      </c>
      <c r="D573" s="4" t="inlineStr">
        <is>
          <t>South</t>
        </is>
      </c>
      <c r="E573" s="4" t="inlineStr">
        <is>
          <t>Hyderabad</t>
        </is>
      </c>
      <c r="F573" s="5" t="inlineStr">
        <is>
          <t>Ravi Verma</t>
        </is>
      </c>
      <c r="G573" s="5" t="inlineStr">
        <is>
          <t>Software</t>
        </is>
      </c>
      <c r="H573" s="4" t="inlineStr">
        <is>
          <t>CRM Tool</t>
        </is>
      </c>
      <c r="I573" s="4" t="n">
        <v>19</v>
      </c>
      <c r="J573" s="5" t="n">
        <v>2839.79</v>
      </c>
      <c r="K573" s="5" t="n">
        <v>53956.01</v>
      </c>
      <c r="L573" s="5" t="n">
        <v>16186.8</v>
      </c>
      <c r="M573" s="4" t="n">
        <v>37769.21</v>
      </c>
      <c r="N573" s="4" t="inlineStr">
        <is>
          <t>New</t>
        </is>
      </c>
      <c r="O573" s="4" t="inlineStr">
        <is>
          <t>Online</t>
        </is>
      </c>
      <c r="P573" s="5" t="n">
        <v>63006.04</v>
      </c>
      <c r="Q573" s="5" t="n">
        <v>85.64</v>
      </c>
      <c r="R573" s="5" t="inlineStr"/>
    </row>
    <row r="574">
      <c r="A574" s="2" t="inlineStr">
        <is>
          <t>ORD-1573</t>
        </is>
      </c>
      <c r="B574" s="3" t="inlineStr">
        <is>
          <t>10-11-2024</t>
        </is>
      </c>
      <c r="C574" s="3" t="inlineStr">
        <is>
          <t>Nov-2024</t>
        </is>
      </c>
      <c r="D574" s="2" t="inlineStr">
        <is>
          <t>North</t>
        </is>
      </c>
      <c r="E574" s="2" t="inlineStr">
        <is>
          <t>Chandigarh</t>
        </is>
      </c>
      <c r="F574" s="3" t="inlineStr">
        <is>
          <t>Kavita Rao</t>
        </is>
      </c>
      <c r="G574" s="3" t="inlineStr">
        <is>
          <t>Electronics</t>
        </is>
      </c>
      <c r="H574" s="2" t="inlineStr">
        <is>
          <t>Smartphone</t>
        </is>
      </c>
      <c r="I574" s="2" t="n">
        <v>5</v>
      </c>
      <c r="J574" s="3" t="n">
        <v>722.3</v>
      </c>
      <c r="K574" s="3" t="n">
        <v>3611.5</v>
      </c>
      <c r="L574" s="3" t="n">
        <v>2166.9</v>
      </c>
      <c r="M574" s="2" t="n">
        <v>1444.6</v>
      </c>
      <c r="N574" s="2" t="inlineStr">
        <is>
          <t>New</t>
        </is>
      </c>
      <c r="O574" s="2" t="inlineStr">
        <is>
          <t>Offline</t>
        </is>
      </c>
      <c r="P574" s="3" t="n">
        <v>4371.25</v>
      </c>
      <c r="Q574" s="3" t="n">
        <v>82.62</v>
      </c>
      <c r="R574" s="3" t="inlineStr"/>
    </row>
    <row r="575">
      <c r="A575" s="4" t="inlineStr">
        <is>
          <t>ORD-1574</t>
        </is>
      </c>
      <c r="B575" s="5" t="inlineStr">
        <is>
          <t>11-11-2024</t>
        </is>
      </c>
      <c r="C575" s="5" t="inlineStr">
        <is>
          <t>Nov-2024</t>
        </is>
      </c>
      <c r="D575" s="4" t="inlineStr">
        <is>
          <t>West</t>
        </is>
      </c>
      <c r="E575" s="4" t="inlineStr">
        <is>
          <t>Pune</t>
        </is>
      </c>
      <c r="F575" s="5" t="inlineStr">
        <is>
          <t>Arjun Mehta</t>
        </is>
      </c>
      <c r="G575" s="5" t="inlineStr">
        <is>
          <t>Electronics</t>
        </is>
      </c>
      <c r="H575" s="4" t="inlineStr">
        <is>
          <t>Laptop</t>
        </is>
      </c>
      <c r="I575" s="4" t="n">
        <v>4</v>
      </c>
      <c r="J575" s="5" t="n">
        <v>1199.31</v>
      </c>
      <c r="K575" s="5" t="n">
        <v>4797.24</v>
      </c>
      <c r="L575" s="5" t="n">
        <v>2878.34</v>
      </c>
      <c r="M575" s="4" t="n">
        <v>1918.9</v>
      </c>
      <c r="N575" s="4" t="inlineStr">
        <is>
          <t>New</t>
        </is>
      </c>
      <c r="O575" s="4" t="inlineStr">
        <is>
          <t>Online</t>
        </is>
      </c>
      <c r="P575" s="5" t="n">
        <v>5767.37</v>
      </c>
      <c r="Q575" s="5" t="n">
        <v>83.18000000000001</v>
      </c>
      <c r="R575" s="5" t="inlineStr"/>
    </row>
    <row r="576">
      <c r="A576" s="2" t="inlineStr">
        <is>
          <t>ORD-1575</t>
        </is>
      </c>
      <c r="B576" s="3" t="inlineStr">
        <is>
          <t>12-11-2024</t>
        </is>
      </c>
      <c r="C576" s="3" t="inlineStr">
        <is>
          <t>Nov-2024</t>
        </is>
      </c>
      <c r="D576" s="2" t="inlineStr">
        <is>
          <t>East</t>
        </is>
      </c>
      <c r="E576" s="2" t="inlineStr">
        <is>
          <t>Patna</t>
        </is>
      </c>
      <c r="F576" s="3" t="inlineStr">
        <is>
          <t>Amit Kumar</t>
        </is>
      </c>
      <c r="G576" s="3" t="inlineStr">
        <is>
          <t>Apparel</t>
        </is>
      </c>
      <c r="H576" s="2" t="inlineStr">
        <is>
          <t>Jacket</t>
        </is>
      </c>
      <c r="I576" s="2" t="n">
        <v>19</v>
      </c>
      <c r="J576" s="3" t="n">
        <v>121.1</v>
      </c>
      <c r="K576" s="3" t="n">
        <v>2300.9</v>
      </c>
      <c r="L576" s="3" t="n">
        <v>1035.4</v>
      </c>
      <c r="M576" s="2" t="n">
        <v>1265.5</v>
      </c>
      <c r="N576" s="2" t="inlineStr">
        <is>
          <t>Existing</t>
        </is>
      </c>
      <c r="O576" s="2" t="inlineStr">
        <is>
          <t>Online</t>
        </is>
      </c>
      <c r="P576" s="3" t="n">
        <v>2719.93</v>
      </c>
      <c r="Q576" s="3" t="n">
        <v>84.59</v>
      </c>
      <c r="R576" s="3" t="inlineStr"/>
    </row>
    <row r="577">
      <c r="A577" s="4" t="inlineStr">
        <is>
          <t>ORD-1576</t>
        </is>
      </c>
      <c r="B577" s="5" t="inlineStr">
        <is>
          <t>12-11-2024</t>
        </is>
      </c>
      <c r="C577" s="5" t="inlineStr">
        <is>
          <t>Nov-2024</t>
        </is>
      </c>
      <c r="D577" s="4" t="inlineStr">
        <is>
          <t>South</t>
        </is>
      </c>
      <c r="E577" s="4" t="inlineStr">
        <is>
          <t>Bangalore</t>
        </is>
      </c>
      <c r="F577" s="5" t="inlineStr">
        <is>
          <t>Priya Patel</t>
        </is>
      </c>
      <c r="G577" s="5" t="inlineStr">
        <is>
          <t>Electronics</t>
        </is>
      </c>
      <c r="H577" s="4" t="inlineStr">
        <is>
          <t>Tablet</t>
        </is>
      </c>
      <c r="I577" s="4" t="n">
        <v>5</v>
      </c>
      <c r="J577" s="5" t="n">
        <v>630.91</v>
      </c>
      <c r="K577" s="5" t="n">
        <v>3154.55</v>
      </c>
      <c r="L577" s="5" t="n">
        <v>1892.73</v>
      </c>
      <c r="M577" s="4" t="n">
        <v>1261.82</v>
      </c>
      <c r="N577" s="4" t="inlineStr">
        <is>
          <t>New</t>
        </is>
      </c>
      <c r="O577" s="4" t="inlineStr">
        <is>
          <t>Offline</t>
        </is>
      </c>
      <c r="P577" s="5" t="n">
        <v>3396.52</v>
      </c>
      <c r="Q577" s="5" t="n">
        <v>92.88</v>
      </c>
      <c r="R577" s="5" t="inlineStr"/>
    </row>
    <row r="578">
      <c r="A578" s="2" t="inlineStr">
        <is>
          <t>ORD-1577</t>
        </is>
      </c>
      <c r="B578" s="3" t="inlineStr">
        <is>
          <t>13-11-2024</t>
        </is>
      </c>
      <c r="C578" s="3" t="inlineStr">
        <is>
          <t>Nov-2024</t>
        </is>
      </c>
      <c r="D578" s="2" t="inlineStr">
        <is>
          <t>South</t>
        </is>
      </c>
      <c r="E578" s="2" t="inlineStr">
        <is>
          <t>Hyderabad</t>
        </is>
      </c>
      <c r="F578" s="3" t="inlineStr">
        <is>
          <t>Rahul Sharma</t>
        </is>
      </c>
      <c r="G578" s="3" t="inlineStr">
        <is>
          <t>Furniture</t>
        </is>
      </c>
      <c r="H578" s="2" t="inlineStr">
        <is>
          <t>Office Chair</t>
        </is>
      </c>
      <c r="I578" s="2" t="n">
        <v>20</v>
      </c>
      <c r="J578" s="3" t="n">
        <v>341.33</v>
      </c>
      <c r="K578" s="3" t="n">
        <v>6826.6</v>
      </c>
      <c r="L578" s="3" t="n">
        <v>3754.63</v>
      </c>
      <c r="M578" s="2" t="n">
        <v>3071.97</v>
      </c>
      <c r="N578" s="2" t="inlineStr">
        <is>
          <t>New</t>
        </is>
      </c>
      <c r="O578" s="2" t="inlineStr">
        <is>
          <t>Online</t>
        </is>
      </c>
      <c r="P578" s="3" t="n">
        <v>8463.709999999999</v>
      </c>
      <c r="Q578" s="3" t="n">
        <v>80.66</v>
      </c>
      <c r="R578" s="3" t="inlineStr"/>
    </row>
    <row r="579">
      <c r="A579" s="4" t="inlineStr">
        <is>
          <t>ORD-1578</t>
        </is>
      </c>
      <c r="B579" s="5" t="inlineStr">
        <is>
          <t>13-11-2024</t>
        </is>
      </c>
      <c r="C579" s="5" t="inlineStr">
        <is>
          <t>Nov-2024</t>
        </is>
      </c>
      <c r="D579" s="4" t="inlineStr">
        <is>
          <t>North</t>
        </is>
      </c>
      <c r="E579" s="4" t="inlineStr">
        <is>
          <t>Delhi</t>
        </is>
      </c>
      <c r="F579" s="5" t="inlineStr">
        <is>
          <t>Rahul Sharma</t>
        </is>
      </c>
      <c r="G579" s="5" t="inlineStr">
        <is>
          <t>Furniture</t>
        </is>
      </c>
      <c r="H579" s="4" t="inlineStr">
        <is>
          <t>Office Chair</t>
        </is>
      </c>
      <c r="I579" s="4" t="n">
        <v>19</v>
      </c>
      <c r="J579" s="5" t="n">
        <v>377.08</v>
      </c>
      <c r="K579" s="5" t="n">
        <v>7164.52</v>
      </c>
      <c r="L579" s="5" t="n">
        <v>3940.49</v>
      </c>
      <c r="M579" s="4" t="n">
        <v>3224.03</v>
      </c>
      <c r="N579" s="4" t="inlineStr">
        <is>
          <t>Existing</t>
        </is>
      </c>
      <c r="O579" s="4" t="inlineStr">
        <is>
          <t>Offline</t>
        </is>
      </c>
      <c r="P579" s="5" t="n">
        <v>8211.82</v>
      </c>
      <c r="Q579" s="5" t="n">
        <v>87.25</v>
      </c>
      <c r="R579" s="5" t="inlineStr"/>
    </row>
    <row r="580">
      <c r="A580" s="2" t="inlineStr">
        <is>
          <t>ORD-1579</t>
        </is>
      </c>
      <c r="B580" s="3" t="inlineStr">
        <is>
          <t>14-11-2024</t>
        </is>
      </c>
      <c r="C580" s="3" t="inlineStr">
        <is>
          <t>Nov-2024</t>
        </is>
      </c>
      <c r="D580" s="2" t="inlineStr">
        <is>
          <t>South</t>
        </is>
      </c>
      <c r="E580" s="2" t="inlineStr">
        <is>
          <t>Hyderabad</t>
        </is>
      </c>
      <c r="F580" s="3" t="inlineStr">
        <is>
          <t>Vikram Singh</t>
        </is>
      </c>
      <c r="G580" s="3" t="inlineStr">
        <is>
          <t>Software</t>
        </is>
      </c>
      <c r="H580" s="2" t="inlineStr">
        <is>
          <t>HR System</t>
        </is>
      </c>
      <c r="I580" s="2" t="n">
        <v>8</v>
      </c>
      <c r="J580" s="3" t="n">
        <v>2175.24</v>
      </c>
      <c r="K580" s="3" t="n">
        <v>17401.92</v>
      </c>
      <c r="L580" s="3" t="n">
        <v>5220.58</v>
      </c>
      <c r="M580" s="2" t="n">
        <v>12181.34</v>
      </c>
      <c r="N580" s="2" t="inlineStr">
        <is>
          <t>New</t>
        </is>
      </c>
      <c r="O580" s="2" t="inlineStr">
        <is>
          <t>Online</t>
        </is>
      </c>
      <c r="P580" s="3" t="n">
        <v>20161.85</v>
      </c>
      <c r="Q580" s="3" t="n">
        <v>86.31</v>
      </c>
      <c r="R580" s="3" t="inlineStr"/>
    </row>
    <row r="581">
      <c r="A581" s="4" t="inlineStr">
        <is>
          <t>ORD-1580</t>
        </is>
      </c>
      <c r="B581" s="5" t="inlineStr">
        <is>
          <t>15-11-2024</t>
        </is>
      </c>
      <c r="C581" s="5" t="inlineStr">
        <is>
          <t>Nov-2024</t>
        </is>
      </c>
      <c r="D581" s="4" t="inlineStr">
        <is>
          <t>North</t>
        </is>
      </c>
      <c r="E581" s="4" t="inlineStr">
        <is>
          <t>Lucknow</t>
        </is>
      </c>
      <c r="F581" s="5" t="inlineStr">
        <is>
          <t>Vikram Singh</t>
        </is>
      </c>
      <c r="G581" s="5" t="inlineStr">
        <is>
          <t>Apparel</t>
        </is>
      </c>
      <c r="H581" s="4" t="inlineStr">
        <is>
          <t>Trousers</t>
        </is>
      </c>
      <c r="I581" s="4" t="n">
        <v>1</v>
      </c>
      <c r="J581" s="5" t="n">
        <v>70.81</v>
      </c>
      <c r="K581" s="5" t="n">
        <v>70.81</v>
      </c>
      <c r="L581" s="5" t="n">
        <v>31.86</v>
      </c>
      <c r="M581" s="4" t="n">
        <v>38.95</v>
      </c>
      <c r="N581" s="4" t="inlineStr">
        <is>
          <t>New</t>
        </is>
      </c>
      <c r="O581" s="4" t="inlineStr">
        <is>
          <t>Online</t>
        </is>
      </c>
      <c r="P581" s="5" t="n">
        <v>91.58</v>
      </c>
      <c r="Q581" s="5" t="n">
        <v>77.31999999999999</v>
      </c>
      <c r="R581" s="5" t="inlineStr"/>
    </row>
    <row r="582">
      <c r="A582" s="2" t="inlineStr">
        <is>
          <t>ORD-1581</t>
        </is>
      </c>
      <c r="B582" s="3" t="inlineStr">
        <is>
          <t>15-11-2024</t>
        </is>
      </c>
      <c r="C582" s="3" t="inlineStr">
        <is>
          <t>Nov-2024</t>
        </is>
      </c>
      <c r="D582" s="2" t="inlineStr">
        <is>
          <t>North</t>
        </is>
      </c>
      <c r="E582" s="2" t="inlineStr">
        <is>
          <t>Lucknow</t>
        </is>
      </c>
      <c r="F582" s="3" t="inlineStr">
        <is>
          <t>Deepa Nair</t>
        </is>
      </c>
      <c r="G582" s="3" t="inlineStr">
        <is>
          <t>Furniture</t>
        </is>
      </c>
      <c r="H582" s="2" t="inlineStr">
        <is>
          <t>Cabinet</t>
        </is>
      </c>
      <c r="I582" s="2" t="n">
        <v>7</v>
      </c>
      <c r="J582" s="3" t="n">
        <v>286.59</v>
      </c>
      <c r="K582" s="3" t="n">
        <v>2006.13</v>
      </c>
      <c r="L582" s="3" t="n">
        <v>1103.37</v>
      </c>
      <c r="M582" s="2" t="n">
        <v>902.76</v>
      </c>
      <c r="N582" s="2" t="inlineStr">
        <is>
          <t>New</t>
        </is>
      </c>
      <c r="O582" s="2" t="inlineStr">
        <is>
          <t>Online</t>
        </is>
      </c>
      <c r="P582" s="3" t="n">
        <v>2403.96</v>
      </c>
      <c r="Q582" s="3" t="n">
        <v>83.45</v>
      </c>
      <c r="R582" s="3" t="inlineStr"/>
    </row>
    <row r="583">
      <c r="A583" s="4" t="inlineStr">
        <is>
          <t>ORD-1582</t>
        </is>
      </c>
      <c r="B583" s="5" t="inlineStr">
        <is>
          <t>15-11-2024</t>
        </is>
      </c>
      <c r="C583" s="5" t="inlineStr">
        <is>
          <t>Nov-2024</t>
        </is>
      </c>
      <c r="D583" s="4" t="inlineStr">
        <is>
          <t>West</t>
        </is>
      </c>
      <c r="E583" s="4" t="inlineStr">
        <is>
          <t>Ahmedabad</t>
        </is>
      </c>
      <c r="F583" s="5" t="inlineStr">
        <is>
          <t>Arjun Mehta</t>
        </is>
      </c>
      <c r="G583" s="5" t="inlineStr">
        <is>
          <t>Furniture</t>
        </is>
      </c>
      <c r="H583" s="4" t="inlineStr">
        <is>
          <t>Office Chair</t>
        </is>
      </c>
      <c r="I583" s="4" t="n">
        <v>2</v>
      </c>
      <c r="J583" s="5" t="n">
        <v>360.14</v>
      </c>
      <c r="K583" s="5" t="n">
        <v>720.28</v>
      </c>
      <c r="L583" s="5" t="n">
        <v>396.15</v>
      </c>
      <c r="M583" s="4" t="n">
        <v>324.13</v>
      </c>
      <c r="N583" s="4" t="inlineStr">
        <is>
          <t>Existing</t>
        </is>
      </c>
      <c r="O583" s="4" t="inlineStr">
        <is>
          <t>Online</t>
        </is>
      </c>
      <c r="P583" s="5" t="n">
        <v>732.77</v>
      </c>
      <c r="Q583" s="5" t="n">
        <v>98.3</v>
      </c>
      <c r="R583" s="5" t="inlineStr"/>
    </row>
    <row r="584">
      <c r="A584" s="2" t="inlineStr">
        <is>
          <t>ORD-1583</t>
        </is>
      </c>
      <c r="B584" s="3" t="inlineStr">
        <is>
          <t>16-11-2024</t>
        </is>
      </c>
      <c r="C584" s="3" t="inlineStr">
        <is>
          <t>Nov-2024</t>
        </is>
      </c>
      <c r="D584" s="2" t="inlineStr">
        <is>
          <t>West</t>
        </is>
      </c>
      <c r="E584" s="2" t="inlineStr">
        <is>
          <t>Mumbai</t>
        </is>
      </c>
      <c r="F584" s="3" t="inlineStr">
        <is>
          <t>Priya Patel</t>
        </is>
      </c>
      <c r="G584" s="3" t="inlineStr">
        <is>
          <t>Electronics</t>
        </is>
      </c>
      <c r="H584" s="2" t="inlineStr">
        <is>
          <t>Smartphone</t>
        </is>
      </c>
      <c r="I584" s="2" t="n">
        <v>6</v>
      </c>
      <c r="J584" s="3" t="n">
        <v>845.6799999999999</v>
      </c>
      <c r="K584" s="3" t="n">
        <v>5074.08</v>
      </c>
      <c r="L584" s="3" t="n">
        <v>3044.45</v>
      </c>
      <c r="M584" s="2" t="n">
        <v>2029.63</v>
      </c>
      <c r="N584" s="2" t="inlineStr">
        <is>
          <t>Existing</t>
        </is>
      </c>
      <c r="O584" s="2" t="inlineStr">
        <is>
          <t>Online</t>
        </is>
      </c>
      <c r="P584" s="3" t="n">
        <v>4239.04</v>
      </c>
      <c r="Q584" s="3" t="n">
        <v>119.7</v>
      </c>
      <c r="R584" s="3" t="inlineStr"/>
    </row>
    <row r="585">
      <c r="A585" s="4" t="inlineStr">
        <is>
          <t>ORD-1584</t>
        </is>
      </c>
      <c r="B585" s="5" t="inlineStr">
        <is>
          <t>16-11-2024</t>
        </is>
      </c>
      <c r="C585" s="5" t="inlineStr">
        <is>
          <t>Nov-2024</t>
        </is>
      </c>
      <c r="D585" s="4" t="inlineStr">
        <is>
          <t>South</t>
        </is>
      </c>
      <c r="E585" s="4" t="inlineStr">
        <is>
          <t>Hyderabad</t>
        </is>
      </c>
      <c r="F585" s="5" t="inlineStr">
        <is>
          <t>Pooja Joshi</t>
        </is>
      </c>
      <c r="G585" s="5" t="inlineStr">
        <is>
          <t>Apparel</t>
        </is>
      </c>
      <c r="H585" s="4" t="inlineStr">
        <is>
          <t>Trousers</t>
        </is>
      </c>
      <c r="I585" s="4" t="n">
        <v>7</v>
      </c>
      <c r="J585" s="5" t="n">
        <v>73.45999999999999</v>
      </c>
      <c r="K585" s="5" t="n">
        <v>514.22</v>
      </c>
      <c r="L585" s="5" t="n">
        <v>231.4</v>
      </c>
      <c r="M585" s="4" t="n">
        <v>282.82</v>
      </c>
      <c r="N585" s="4" t="inlineStr">
        <is>
          <t>Existing</t>
        </is>
      </c>
      <c r="O585" s="4" t="inlineStr">
        <is>
          <t>Online</t>
        </is>
      </c>
      <c r="P585" s="5" t="n">
        <v>611.66</v>
      </c>
      <c r="Q585" s="5" t="n">
        <v>84.06999999999999</v>
      </c>
      <c r="R585" s="5" t="inlineStr"/>
    </row>
    <row r="586">
      <c r="A586" s="2" t="inlineStr">
        <is>
          <t>ORD-1585</t>
        </is>
      </c>
      <c r="B586" s="3" t="inlineStr">
        <is>
          <t>17-11-2024</t>
        </is>
      </c>
      <c r="C586" s="3" t="inlineStr">
        <is>
          <t>Nov-2024</t>
        </is>
      </c>
      <c r="D586" s="2" t="inlineStr">
        <is>
          <t>South</t>
        </is>
      </c>
      <c r="E586" s="2" t="inlineStr">
        <is>
          <t>Chennai</t>
        </is>
      </c>
      <c r="F586" s="3" t="inlineStr">
        <is>
          <t>Sneha Reddy</t>
        </is>
      </c>
      <c r="G586" s="3" t="inlineStr">
        <is>
          <t>Software</t>
        </is>
      </c>
      <c r="H586" s="2" t="inlineStr">
        <is>
          <t>CRM Tool</t>
        </is>
      </c>
      <c r="I586" s="2" t="n">
        <v>13</v>
      </c>
      <c r="J586" s="3" t="n">
        <v>3234.82</v>
      </c>
      <c r="K586" s="3" t="n">
        <v>42052.66</v>
      </c>
      <c r="L586" s="3" t="n">
        <v>12615.8</v>
      </c>
      <c r="M586" s="2" t="n">
        <v>29436.86</v>
      </c>
      <c r="N586" s="2" t="inlineStr">
        <is>
          <t>New</t>
        </is>
      </c>
      <c r="O586" s="2" t="inlineStr">
        <is>
          <t>Offline</t>
        </is>
      </c>
      <c r="P586" s="3" t="n">
        <v>45944.47</v>
      </c>
      <c r="Q586" s="3" t="n">
        <v>91.53</v>
      </c>
      <c r="R586" s="3" t="inlineStr"/>
    </row>
    <row r="587">
      <c r="A587" s="4" t="inlineStr">
        <is>
          <t>ORD-1586</t>
        </is>
      </c>
      <c r="B587" s="5" t="inlineStr">
        <is>
          <t>18-11-2024</t>
        </is>
      </c>
      <c r="C587" s="5" t="inlineStr">
        <is>
          <t>Nov-2024</t>
        </is>
      </c>
      <c r="D587" s="4" t="inlineStr">
        <is>
          <t>West</t>
        </is>
      </c>
      <c r="E587" s="4" t="inlineStr">
        <is>
          <t>Mumbai</t>
        </is>
      </c>
      <c r="F587" s="5" t="inlineStr">
        <is>
          <t>Sneha Reddy</t>
        </is>
      </c>
      <c r="G587" s="5" t="inlineStr">
        <is>
          <t>Software</t>
        </is>
      </c>
      <c r="H587" s="4" t="inlineStr">
        <is>
          <t>CRM Tool</t>
        </is>
      </c>
      <c r="I587" s="4" t="n">
        <v>13</v>
      </c>
      <c r="J587" s="5" t="n">
        <v>2924.09</v>
      </c>
      <c r="K587" s="5" t="n">
        <v>38013.17</v>
      </c>
      <c r="L587" s="5" t="n">
        <v>11403.95</v>
      </c>
      <c r="M587" s="4" t="n">
        <v>26609.22</v>
      </c>
      <c r="N587" s="4" t="inlineStr">
        <is>
          <t>Existing</t>
        </is>
      </c>
      <c r="O587" s="4" t="inlineStr">
        <is>
          <t>Online</t>
        </is>
      </c>
      <c r="P587" s="5" t="n">
        <v>42423.1</v>
      </c>
      <c r="Q587" s="5" t="n">
        <v>89.59999999999999</v>
      </c>
      <c r="R587" s="5" t="inlineStr"/>
    </row>
    <row r="588">
      <c r="A588" s="2" t="inlineStr">
        <is>
          <t>ORD-1587</t>
        </is>
      </c>
      <c r="B588" s="3" t="inlineStr">
        <is>
          <t>19-11-2024</t>
        </is>
      </c>
      <c r="C588" s="3" t="inlineStr">
        <is>
          <t>Nov-2024</t>
        </is>
      </c>
      <c r="D588" s="2" t="inlineStr">
        <is>
          <t>South</t>
        </is>
      </c>
      <c r="E588" s="2" t="inlineStr">
        <is>
          <t>Bangalore</t>
        </is>
      </c>
      <c r="F588" s="3" t="inlineStr">
        <is>
          <t>Arjun Mehta</t>
        </is>
      </c>
      <c r="G588" s="3" t="inlineStr">
        <is>
          <t>Electronics</t>
        </is>
      </c>
      <c r="H588" s="2" t="inlineStr">
        <is>
          <t>Laptop</t>
        </is>
      </c>
      <c r="I588" s="2" t="n">
        <v>9</v>
      </c>
      <c r="J588" s="3" t="n">
        <v>1112.76</v>
      </c>
      <c r="K588" s="3" t="n">
        <v>10014.84</v>
      </c>
      <c r="L588" s="3" t="n">
        <v>6008.9</v>
      </c>
      <c r="M588" s="2" t="n">
        <v>4005.94</v>
      </c>
      <c r="N588" s="2" t="inlineStr">
        <is>
          <t>Existing</t>
        </is>
      </c>
      <c r="O588" s="2" t="inlineStr">
        <is>
          <t>Offline</t>
        </is>
      </c>
      <c r="P588" s="3" t="n">
        <v>10106.09</v>
      </c>
      <c r="Q588" s="3" t="n">
        <v>99.09999999999999</v>
      </c>
      <c r="R588" s="3" t="inlineStr"/>
    </row>
    <row r="589">
      <c r="A589" s="4" t="inlineStr">
        <is>
          <t>ORD-1588</t>
        </is>
      </c>
      <c r="B589" s="5" t="inlineStr">
        <is>
          <t>19-11-2024</t>
        </is>
      </c>
      <c r="C589" s="5" t="inlineStr">
        <is>
          <t>Nov-2024</t>
        </is>
      </c>
      <c r="D589" s="4" t="inlineStr">
        <is>
          <t>East</t>
        </is>
      </c>
      <c r="E589" s="4" t="inlineStr">
        <is>
          <t>Kolkata</t>
        </is>
      </c>
      <c r="F589" s="5" t="inlineStr">
        <is>
          <t>Vikram Singh</t>
        </is>
      </c>
      <c r="G589" s="5" t="inlineStr">
        <is>
          <t>Furniture</t>
        </is>
      </c>
      <c r="H589" s="4" t="inlineStr">
        <is>
          <t>Desk</t>
        </is>
      </c>
      <c r="I589" s="4" t="n">
        <v>19</v>
      </c>
      <c r="J589" s="5" t="n">
        <v>492.31</v>
      </c>
      <c r="K589" s="5" t="n">
        <v>9353.889999999999</v>
      </c>
      <c r="L589" s="5" t="n">
        <v>5144.64</v>
      </c>
      <c r="M589" s="4" t="n">
        <v>4209.25</v>
      </c>
      <c r="N589" s="4" t="inlineStr">
        <is>
          <t>New</t>
        </is>
      </c>
      <c r="O589" s="4" t="inlineStr">
        <is>
          <t>Online</t>
        </is>
      </c>
      <c r="P589" s="5" t="n">
        <v>9408.59</v>
      </c>
      <c r="Q589" s="5" t="n">
        <v>99.42</v>
      </c>
      <c r="R589" s="5" t="inlineStr"/>
    </row>
    <row r="590">
      <c r="A590" s="2" t="inlineStr">
        <is>
          <t>ORD-1589</t>
        </is>
      </c>
      <c r="B590" s="3" t="inlineStr">
        <is>
          <t>20-11-2024</t>
        </is>
      </c>
      <c r="C590" s="3" t="inlineStr">
        <is>
          <t>Nov-2024</t>
        </is>
      </c>
      <c r="D590" s="2" t="inlineStr">
        <is>
          <t>West</t>
        </is>
      </c>
      <c r="E590" s="2" t="inlineStr">
        <is>
          <t>Mumbai</t>
        </is>
      </c>
      <c r="F590" s="3" t="inlineStr">
        <is>
          <t>Kavita Rao</t>
        </is>
      </c>
      <c r="G590" s="3" t="inlineStr">
        <is>
          <t>Software</t>
        </is>
      </c>
      <c r="H590" s="2" t="inlineStr">
        <is>
          <t>HR System</t>
        </is>
      </c>
      <c r="I590" s="2" t="n">
        <v>9</v>
      </c>
      <c r="J590" s="3" t="n">
        <v>1805.8</v>
      </c>
      <c r="K590" s="3" t="n">
        <v>16252.2</v>
      </c>
      <c r="L590" s="3" t="n">
        <v>4875.66</v>
      </c>
      <c r="M590" s="2" t="n">
        <v>11376.54</v>
      </c>
      <c r="N590" s="2" t="inlineStr">
        <is>
          <t>Existing</t>
        </is>
      </c>
      <c r="O590" s="2" t="inlineStr">
        <is>
          <t>Online</t>
        </is>
      </c>
      <c r="P590" s="3" t="n">
        <v>15015.66</v>
      </c>
      <c r="Q590" s="3" t="n">
        <v>108.24</v>
      </c>
      <c r="R590" s="3" t="inlineStr"/>
    </row>
    <row r="591">
      <c r="A591" s="4" t="inlineStr">
        <is>
          <t>ORD-1590</t>
        </is>
      </c>
      <c r="B591" s="5" t="inlineStr">
        <is>
          <t>20-11-2024</t>
        </is>
      </c>
      <c r="C591" s="5" t="inlineStr">
        <is>
          <t>Nov-2024</t>
        </is>
      </c>
      <c r="D591" s="4" t="inlineStr">
        <is>
          <t>West</t>
        </is>
      </c>
      <c r="E591" s="4" t="inlineStr">
        <is>
          <t>Pune</t>
        </is>
      </c>
      <c r="F591" s="5" t="inlineStr">
        <is>
          <t>Sneha Reddy</t>
        </is>
      </c>
      <c r="G591" s="5" t="inlineStr">
        <is>
          <t>Furniture</t>
        </is>
      </c>
      <c r="H591" s="4" t="inlineStr">
        <is>
          <t>Office Chair</t>
        </is>
      </c>
      <c r="I591" s="4" t="n">
        <v>14</v>
      </c>
      <c r="J591" s="5" t="n">
        <v>383.61</v>
      </c>
      <c r="K591" s="5" t="n">
        <v>5370.54</v>
      </c>
      <c r="L591" s="5" t="n">
        <v>2953.8</v>
      </c>
      <c r="M591" s="4" t="n">
        <v>2416.74</v>
      </c>
      <c r="N591" s="4" t="inlineStr">
        <is>
          <t>New</t>
        </is>
      </c>
      <c r="O591" s="4" t="inlineStr">
        <is>
          <t>Offline</t>
        </is>
      </c>
      <c r="P591" s="5" t="n">
        <v>6266.01</v>
      </c>
      <c r="Q591" s="5" t="n">
        <v>85.70999999999999</v>
      </c>
      <c r="R591" s="5" t="inlineStr"/>
    </row>
    <row r="592">
      <c r="A592" s="2" t="inlineStr">
        <is>
          <t>ORD-1591</t>
        </is>
      </c>
      <c r="B592" s="3" t="inlineStr">
        <is>
          <t>20-11-2024</t>
        </is>
      </c>
      <c r="C592" s="3" t="inlineStr">
        <is>
          <t>Nov-2024</t>
        </is>
      </c>
      <c r="D592" s="2" t="inlineStr">
        <is>
          <t>North</t>
        </is>
      </c>
      <c r="E592" s="2" t="inlineStr">
        <is>
          <t>Chandigarh</t>
        </is>
      </c>
      <c r="F592" s="3" t="inlineStr">
        <is>
          <t>Ravi Verma</t>
        </is>
      </c>
      <c r="G592" s="3" t="inlineStr">
        <is>
          <t>Software</t>
        </is>
      </c>
      <c r="H592" s="2" t="inlineStr">
        <is>
          <t>HR System</t>
        </is>
      </c>
      <c r="I592" s="2" t="n">
        <v>4</v>
      </c>
      <c r="J592" s="3" t="n">
        <v>1980.98</v>
      </c>
      <c r="K592" s="3" t="n">
        <v>7923.92</v>
      </c>
      <c r="L592" s="3" t="n">
        <v>2377.18</v>
      </c>
      <c r="M592" s="2" t="n">
        <v>5546.74</v>
      </c>
      <c r="N592" s="2" t="inlineStr">
        <is>
          <t>New</t>
        </is>
      </c>
      <c r="O592" s="2" t="inlineStr">
        <is>
          <t>Online</t>
        </is>
      </c>
      <c r="P592" s="3" t="n">
        <v>8551.84</v>
      </c>
      <c r="Q592" s="3" t="n">
        <v>92.66</v>
      </c>
      <c r="R592" s="3" t="inlineStr"/>
    </row>
    <row r="593">
      <c r="A593" s="4" t="inlineStr">
        <is>
          <t>ORD-1592</t>
        </is>
      </c>
      <c r="B593" s="5" t="inlineStr">
        <is>
          <t>21-11-2024</t>
        </is>
      </c>
      <c r="C593" s="5" t="inlineStr">
        <is>
          <t>Nov-2024</t>
        </is>
      </c>
      <c r="D593" s="4" t="inlineStr">
        <is>
          <t>West</t>
        </is>
      </c>
      <c r="E593" s="4" t="inlineStr">
        <is>
          <t>Mumbai</t>
        </is>
      </c>
      <c r="F593" s="5" t="inlineStr">
        <is>
          <t>Arjun Mehta</t>
        </is>
      </c>
      <c r="G593" s="5" t="inlineStr">
        <is>
          <t>Apparel</t>
        </is>
      </c>
      <c r="H593" s="4" t="inlineStr">
        <is>
          <t>T-Shirt</t>
        </is>
      </c>
      <c r="I593" s="4" t="n">
        <v>8</v>
      </c>
      <c r="J593" s="5" t="n">
        <v>41.18</v>
      </c>
      <c r="K593" s="5" t="n">
        <v>329.44</v>
      </c>
      <c r="L593" s="5" t="n">
        <v>148.25</v>
      </c>
      <c r="M593" s="4" t="n">
        <v>181.19</v>
      </c>
      <c r="N593" s="4" t="inlineStr">
        <is>
          <t>New</t>
        </is>
      </c>
      <c r="O593" s="4" t="inlineStr">
        <is>
          <t>Online</t>
        </is>
      </c>
      <c r="P593" s="5" t="n">
        <v>342.58</v>
      </c>
      <c r="Q593" s="5" t="n">
        <v>96.16</v>
      </c>
      <c r="R593" s="5" t="inlineStr"/>
    </row>
    <row r="594">
      <c r="A594" s="2" t="inlineStr">
        <is>
          <t>ORD-1593</t>
        </is>
      </c>
      <c r="B594" s="3" t="inlineStr">
        <is>
          <t>22-11-2024</t>
        </is>
      </c>
      <c r="C594" s="3" t="inlineStr">
        <is>
          <t>Nov-2024</t>
        </is>
      </c>
      <c r="D594" s="2" t="inlineStr">
        <is>
          <t>South</t>
        </is>
      </c>
      <c r="E594" s="2" t="inlineStr">
        <is>
          <t>Hyderabad</t>
        </is>
      </c>
      <c r="F594" s="3" t="inlineStr">
        <is>
          <t>Pooja Joshi</t>
        </is>
      </c>
      <c r="G594" s="3" t="inlineStr">
        <is>
          <t>Electronics</t>
        </is>
      </c>
      <c r="H594" s="2" t="inlineStr">
        <is>
          <t>Smartwatch</t>
        </is>
      </c>
      <c r="I594" s="2" t="n">
        <v>15</v>
      </c>
      <c r="J594" s="3" t="n">
        <v>316.31</v>
      </c>
      <c r="K594" s="3" t="n">
        <v>4744.65</v>
      </c>
      <c r="L594" s="3" t="n">
        <v>2846.79</v>
      </c>
      <c r="M594" s="2" t="n">
        <v>1897.86</v>
      </c>
      <c r="N594" s="2" t="inlineStr">
        <is>
          <t>Existing</t>
        </is>
      </c>
      <c r="O594" s="2" t="inlineStr">
        <is>
          <t>Online</t>
        </is>
      </c>
      <c r="P594" s="3" t="n">
        <v>5669.52</v>
      </c>
      <c r="Q594" s="3" t="n">
        <v>83.69</v>
      </c>
      <c r="R594" s="3" t="inlineStr"/>
    </row>
    <row r="595">
      <c r="A595" s="4" t="inlineStr">
        <is>
          <t>ORD-1594</t>
        </is>
      </c>
      <c r="B595" s="5" t="inlineStr">
        <is>
          <t>22-11-2024</t>
        </is>
      </c>
      <c r="C595" s="5" t="inlineStr">
        <is>
          <t>Nov-2024</t>
        </is>
      </c>
      <c r="D595" s="4" t="inlineStr">
        <is>
          <t>East</t>
        </is>
      </c>
      <c r="E595" s="4" t="inlineStr">
        <is>
          <t>Patna</t>
        </is>
      </c>
      <c r="F595" s="5" t="inlineStr">
        <is>
          <t>Pooja Joshi</t>
        </is>
      </c>
      <c r="G595" s="5" t="inlineStr">
        <is>
          <t>Electronics</t>
        </is>
      </c>
      <c r="H595" s="4" t="inlineStr">
        <is>
          <t>Laptop</t>
        </is>
      </c>
      <c r="I595" s="4" t="n">
        <v>13</v>
      </c>
      <c r="J595" s="5" t="n">
        <v>1294.42</v>
      </c>
      <c r="K595" s="5" t="n">
        <v>16827.46</v>
      </c>
      <c r="L595" s="5" t="n">
        <v>10096.48</v>
      </c>
      <c r="M595" s="4" t="n">
        <v>6730.98</v>
      </c>
      <c r="N595" s="4" t="inlineStr">
        <is>
          <t>Existing</t>
        </is>
      </c>
      <c r="O595" s="4" t="inlineStr">
        <is>
          <t>Online</t>
        </is>
      </c>
      <c r="P595" s="5" t="n">
        <v>15957.4</v>
      </c>
      <c r="Q595" s="5" t="n">
        <v>105.45</v>
      </c>
      <c r="R595" s="5" t="inlineStr"/>
    </row>
    <row r="596">
      <c r="A596" s="2" t="inlineStr">
        <is>
          <t>ORD-1595</t>
        </is>
      </c>
      <c r="B596" s="3" t="inlineStr">
        <is>
          <t>23-11-2024</t>
        </is>
      </c>
      <c r="C596" s="3" t="inlineStr">
        <is>
          <t>Nov-2024</t>
        </is>
      </c>
      <c r="D596" s="2" t="inlineStr">
        <is>
          <t>South</t>
        </is>
      </c>
      <c r="E596" s="2" t="inlineStr">
        <is>
          <t>Hyderabad</t>
        </is>
      </c>
      <c r="F596" s="3" t="inlineStr">
        <is>
          <t>Priya Patel</t>
        </is>
      </c>
      <c r="G596" s="3" t="inlineStr">
        <is>
          <t>Apparel</t>
        </is>
      </c>
      <c r="H596" s="2" t="inlineStr">
        <is>
          <t>Jacket</t>
        </is>
      </c>
      <c r="I596" s="2" t="n">
        <v>17</v>
      </c>
      <c r="J596" s="3" t="n">
        <v>130.69</v>
      </c>
      <c r="K596" s="3" t="n">
        <v>2221.73</v>
      </c>
      <c r="L596" s="3" t="n">
        <v>999.78</v>
      </c>
      <c r="M596" s="2" t="n">
        <v>1221.95</v>
      </c>
      <c r="N596" s="2" t="inlineStr">
        <is>
          <t>Existing</t>
        </is>
      </c>
      <c r="O596" s="2" t="inlineStr">
        <is>
          <t>Online</t>
        </is>
      </c>
      <c r="P596" s="3" t="n">
        <v>1900.65</v>
      </c>
      <c r="Q596" s="3" t="n">
        <v>116.89</v>
      </c>
      <c r="R596" s="3" t="inlineStr"/>
    </row>
    <row r="597">
      <c r="A597" s="4" t="inlineStr">
        <is>
          <t>ORD-1596</t>
        </is>
      </c>
      <c r="B597" s="5" t="inlineStr">
        <is>
          <t>23-11-2024</t>
        </is>
      </c>
      <c r="C597" s="5" t="inlineStr">
        <is>
          <t>Nov-2024</t>
        </is>
      </c>
      <c r="D597" s="4" t="inlineStr">
        <is>
          <t>East</t>
        </is>
      </c>
      <c r="E597" s="4" t="inlineStr">
        <is>
          <t>Bhubaneswar</t>
        </is>
      </c>
      <c r="F597" s="5" t="inlineStr">
        <is>
          <t>Kavita Rao</t>
        </is>
      </c>
      <c r="G597" s="5" t="inlineStr">
        <is>
          <t>Electronics</t>
        </is>
      </c>
      <c r="H597" s="4" t="inlineStr">
        <is>
          <t>Tablet</t>
        </is>
      </c>
      <c r="I597" s="4" t="n">
        <v>12</v>
      </c>
      <c r="J597" s="5" t="n">
        <v>561.03</v>
      </c>
      <c r="K597" s="5" t="n">
        <v>6732.36</v>
      </c>
      <c r="L597" s="5" t="n">
        <v>4039.42</v>
      </c>
      <c r="M597" s="4" t="n">
        <v>2692.94</v>
      </c>
      <c r="N597" s="4" t="inlineStr">
        <is>
          <t>New</t>
        </is>
      </c>
      <c r="O597" s="4" t="inlineStr">
        <is>
          <t>Online</t>
        </is>
      </c>
      <c r="P597" s="5" t="n">
        <v>5851.79</v>
      </c>
      <c r="Q597" s="5" t="n">
        <v>115.05</v>
      </c>
      <c r="R597" s="5" t="inlineStr"/>
    </row>
    <row r="598">
      <c r="A598" s="2" t="inlineStr">
        <is>
          <t>ORD-1597</t>
        </is>
      </c>
      <c r="B598" s="3" t="inlineStr">
        <is>
          <t>24-11-2024</t>
        </is>
      </c>
      <c r="C598" s="3" t="inlineStr">
        <is>
          <t>Nov-2024</t>
        </is>
      </c>
      <c r="D598" s="2" t="inlineStr">
        <is>
          <t>South</t>
        </is>
      </c>
      <c r="E598" s="2" t="inlineStr">
        <is>
          <t>Hyderabad</t>
        </is>
      </c>
      <c r="F598" s="3" t="inlineStr">
        <is>
          <t>Priya Patel</t>
        </is>
      </c>
      <c r="G598" s="3" t="inlineStr">
        <is>
          <t>Software</t>
        </is>
      </c>
      <c r="H598" s="2" t="inlineStr">
        <is>
          <t>CRM Tool</t>
        </is>
      </c>
      <c r="I598" s="2" t="n">
        <v>8</v>
      </c>
      <c r="J598" s="3" t="n">
        <v>2892.28</v>
      </c>
      <c r="K598" s="3" t="n">
        <v>23138.24</v>
      </c>
      <c r="L598" s="3" t="n">
        <v>6941.47</v>
      </c>
      <c r="M598" s="2" t="n">
        <v>16196.77</v>
      </c>
      <c r="N598" s="2" t="inlineStr">
        <is>
          <t>Existing</t>
        </is>
      </c>
      <c r="O598" s="2" t="inlineStr">
        <is>
          <t>Offline</t>
        </is>
      </c>
      <c r="P598" s="3" t="n">
        <v>21716.92</v>
      </c>
      <c r="Q598" s="3" t="n">
        <v>106.54</v>
      </c>
      <c r="R598" s="3" t="inlineStr"/>
    </row>
    <row r="599">
      <c r="A599" s="4" t="inlineStr">
        <is>
          <t>ORD-1598</t>
        </is>
      </c>
      <c r="B599" s="5" t="inlineStr">
        <is>
          <t>25-11-2024</t>
        </is>
      </c>
      <c r="C599" s="5" t="inlineStr">
        <is>
          <t>Nov-2024</t>
        </is>
      </c>
      <c r="D599" s="4" t="inlineStr">
        <is>
          <t>East</t>
        </is>
      </c>
      <c r="E599" s="4" t="inlineStr">
        <is>
          <t>Bhubaneswar</t>
        </is>
      </c>
      <c r="F599" s="5" t="inlineStr">
        <is>
          <t>Pooja Joshi</t>
        </is>
      </c>
      <c r="G599" s="5" t="inlineStr">
        <is>
          <t>Software</t>
        </is>
      </c>
      <c r="H599" s="4" t="inlineStr">
        <is>
          <t>ERP Suite</t>
        </is>
      </c>
      <c r="I599" s="4" t="n">
        <v>16</v>
      </c>
      <c r="J599" s="5" t="n">
        <v>5209.83</v>
      </c>
      <c r="K599" s="5" t="n">
        <v>83357.28</v>
      </c>
      <c r="L599" s="5" t="n">
        <v>25007.18</v>
      </c>
      <c r="M599" s="4" t="n">
        <v>58350.1</v>
      </c>
      <c r="N599" s="4" t="inlineStr">
        <is>
          <t>Existing</t>
        </is>
      </c>
      <c r="O599" s="4" t="inlineStr">
        <is>
          <t>Offline</t>
        </is>
      </c>
      <c r="P599" s="5" t="n">
        <v>92566.23</v>
      </c>
      <c r="Q599" s="5" t="n">
        <v>90.05</v>
      </c>
      <c r="R599" s="5" t="inlineStr"/>
    </row>
    <row r="600">
      <c r="A600" s="2" t="inlineStr">
        <is>
          <t>ORD-1599</t>
        </is>
      </c>
      <c r="B600" s="3" t="inlineStr">
        <is>
          <t>26-11-2024</t>
        </is>
      </c>
      <c r="C600" s="3" t="inlineStr">
        <is>
          <t>Nov-2024</t>
        </is>
      </c>
      <c r="D600" s="2" t="inlineStr">
        <is>
          <t>North</t>
        </is>
      </c>
      <c r="E600" s="2" t="inlineStr">
        <is>
          <t>Delhi</t>
        </is>
      </c>
      <c r="F600" s="3" t="inlineStr">
        <is>
          <t>Pooja Joshi</t>
        </is>
      </c>
      <c r="G600" s="3" t="inlineStr">
        <is>
          <t>Electronics</t>
        </is>
      </c>
      <c r="H600" s="2" t="inlineStr">
        <is>
          <t>Laptop</t>
        </is>
      </c>
      <c r="I600" s="2" t="n">
        <v>13</v>
      </c>
      <c r="J600" s="3" t="n">
        <v>1295.51</v>
      </c>
      <c r="K600" s="3" t="n">
        <v>16841.63</v>
      </c>
      <c r="L600" s="3" t="n">
        <v>10104.98</v>
      </c>
      <c r="M600" s="2" t="n">
        <v>6736.65</v>
      </c>
      <c r="N600" s="2" t="inlineStr">
        <is>
          <t>Existing</t>
        </is>
      </c>
      <c r="O600" s="2" t="inlineStr">
        <is>
          <t>Online</t>
        </is>
      </c>
      <c r="P600" s="3" t="n">
        <v>14394.25</v>
      </c>
      <c r="Q600" s="3" t="n">
        <v>117</v>
      </c>
      <c r="R600" s="3" t="inlineStr"/>
    </row>
    <row r="601">
      <c r="A601" s="4" t="inlineStr">
        <is>
          <t>ORD-1600</t>
        </is>
      </c>
      <c r="B601" s="5" t="inlineStr">
        <is>
          <t>26-11-2024</t>
        </is>
      </c>
      <c r="C601" s="5" t="inlineStr">
        <is>
          <t>Nov-2024</t>
        </is>
      </c>
      <c r="D601" s="4" t="inlineStr">
        <is>
          <t>East</t>
        </is>
      </c>
      <c r="E601" s="4" t="inlineStr">
        <is>
          <t>Kolkata</t>
        </is>
      </c>
      <c r="F601" s="5" t="inlineStr">
        <is>
          <t>Arjun Mehta</t>
        </is>
      </c>
      <c r="G601" s="5" t="inlineStr">
        <is>
          <t>Software</t>
        </is>
      </c>
      <c r="H601" s="4" t="inlineStr">
        <is>
          <t>CRM Tool</t>
        </is>
      </c>
      <c r="I601" s="4" t="n">
        <v>7</v>
      </c>
      <c r="J601" s="5" t="n">
        <v>3012.41</v>
      </c>
      <c r="K601" s="5" t="n">
        <v>21086.87</v>
      </c>
      <c r="L601" s="5" t="n">
        <v>6326.06</v>
      </c>
      <c r="M601" s="4" t="n">
        <v>14760.81</v>
      </c>
      <c r="N601" s="4" t="inlineStr">
        <is>
          <t>New</t>
        </is>
      </c>
      <c r="O601" s="4" t="inlineStr">
        <is>
          <t>Offline</t>
        </is>
      </c>
      <c r="P601" s="5" t="n">
        <v>21261.22</v>
      </c>
      <c r="Q601" s="5" t="n">
        <v>99.18000000000001</v>
      </c>
      <c r="R601" s="5" t="inlineStr"/>
    </row>
    <row r="602">
      <c r="A602" s="2" t="inlineStr">
        <is>
          <t>ORD-1601</t>
        </is>
      </c>
      <c r="B602" s="3" t="inlineStr">
        <is>
          <t>26-11-2024</t>
        </is>
      </c>
      <c r="C602" s="3" t="inlineStr">
        <is>
          <t>Nov-2024</t>
        </is>
      </c>
      <c r="D602" s="2" t="inlineStr">
        <is>
          <t>South</t>
        </is>
      </c>
      <c r="E602" s="2" t="inlineStr">
        <is>
          <t>Bangalore</t>
        </is>
      </c>
      <c r="F602" s="3" t="inlineStr">
        <is>
          <t>Deepa Nair</t>
        </is>
      </c>
      <c r="G602" s="3" t="inlineStr">
        <is>
          <t>Software</t>
        </is>
      </c>
      <c r="H602" s="2" t="inlineStr">
        <is>
          <t>HR System</t>
        </is>
      </c>
      <c r="I602" s="2" t="n">
        <v>1</v>
      </c>
      <c r="J602" s="3" t="n">
        <v>1916.61</v>
      </c>
      <c r="K602" s="3" t="n">
        <v>1916.61</v>
      </c>
      <c r="L602" s="3" t="n">
        <v>574.98</v>
      </c>
      <c r="M602" s="2" t="n">
        <v>1341.63</v>
      </c>
      <c r="N602" s="2" t="inlineStr">
        <is>
          <t>New</t>
        </is>
      </c>
      <c r="O602" s="2" t="inlineStr">
        <is>
          <t>Online</t>
        </is>
      </c>
      <c r="P602" s="3" t="n">
        <v>2368.73</v>
      </c>
      <c r="Q602" s="3" t="n">
        <v>80.91</v>
      </c>
      <c r="R602" s="3" t="inlineStr"/>
    </row>
    <row r="603">
      <c r="A603" s="4" t="inlineStr">
        <is>
          <t>ORD-1602</t>
        </is>
      </c>
      <c r="B603" s="5" t="inlineStr">
        <is>
          <t>27-11-2024</t>
        </is>
      </c>
      <c r="C603" s="5" t="inlineStr">
        <is>
          <t>Nov-2024</t>
        </is>
      </c>
      <c r="D603" s="4" t="inlineStr">
        <is>
          <t>East</t>
        </is>
      </c>
      <c r="E603" s="4" t="inlineStr">
        <is>
          <t>Bhubaneswar</t>
        </is>
      </c>
      <c r="F603" s="5" t="inlineStr">
        <is>
          <t>Kavita Rao</t>
        </is>
      </c>
      <c r="G603" s="5" t="inlineStr">
        <is>
          <t>Apparel</t>
        </is>
      </c>
      <c r="H603" s="4" t="inlineStr">
        <is>
          <t>T-Shirt</t>
        </is>
      </c>
      <c r="I603" s="4" t="n">
        <v>16</v>
      </c>
      <c r="J603" s="5" t="n">
        <v>40.75</v>
      </c>
      <c r="K603" s="5" t="n">
        <v>652</v>
      </c>
      <c r="L603" s="5" t="n">
        <v>293.4</v>
      </c>
      <c r="M603" s="4" t="n">
        <v>358.6</v>
      </c>
      <c r="N603" s="4" t="inlineStr">
        <is>
          <t>Existing</t>
        </is>
      </c>
      <c r="O603" s="4" t="inlineStr">
        <is>
          <t>Offline</t>
        </is>
      </c>
      <c r="P603" s="5" t="n">
        <v>620.73</v>
      </c>
      <c r="Q603" s="5" t="n">
        <v>105.04</v>
      </c>
      <c r="R603" s="5" t="inlineStr"/>
    </row>
    <row r="604">
      <c r="A604" s="2" t="inlineStr">
        <is>
          <t>ORD-1603</t>
        </is>
      </c>
      <c r="B604" s="3" t="inlineStr">
        <is>
          <t>28-11-2024</t>
        </is>
      </c>
      <c r="C604" s="3" t="inlineStr">
        <is>
          <t>Nov-2024</t>
        </is>
      </c>
      <c r="D604" s="2" t="inlineStr">
        <is>
          <t>East</t>
        </is>
      </c>
      <c r="E604" s="2" t="inlineStr">
        <is>
          <t>Kolkata</t>
        </is>
      </c>
      <c r="F604" s="3" t="inlineStr">
        <is>
          <t>Vikram Singh</t>
        </is>
      </c>
      <c r="G604" s="3" t="inlineStr">
        <is>
          <t>Furniture</t>
        </is>
      </c>
      <c r="H604" s="2" t="inlineStr">
        <is>
          <t>Cabinet</t>
        </is>
      </c>
      <c r="I604" s="2" t="n">
        <v>12</v>
      </c>
      <c r="J604" s="3" t="n">
        <v>328.24</v>
      </c>
      <c r="K604" s="3" t="n">
        <v>3938.88</v>
      </c>
      <c r="L604" s="3" t="n">
        <v>2166.38</v>
      </c>
      <c r="M604" s="2" t="n">
        <v>1772.5</v>
      </c>
      <c r="N604" s="2" t="inlineStr">
        <is>
          <t>New</t>
        </is>
      </c>
      <c r="O604" s="2" t="inlineStr">
        <is>
          <t>Online</t>
        </is>
      </c>
      <c r="P604" s="3" t="n">
        <v>3846.55</v>
      </c>
      <c r="Q604" s="3" t="n">
        <v>102.4</v>
      </c>
      <c r="R604" s="3" t="inlineStr"/>
    </row>
    <row r="605">
      <c r="A605" s="4" t="inlineStr">
        <is>
          <t>ORD-1604</t>
        </is>
      </c>
      <c r="B605" s="5" t="inlineStr">
        <is>
          <t>29-11-2024</t>
        </is>
      </c>
      <c r="C605" s="5" t="inlineStr">
        <is>
          <t>Nov-2024</t>
        </is>
      </c>
      <c r="D605" s="4" t="inlineStr">
        <is>
          <t>South</t>
        </is>
      </c>
      <c r="E605" s="4" t="inlineStr">
        <is>
          <t>Hyderabad</t>
        </is>
      </c>
      <c r="F605" s="5" t="inlineStr">
        <is>
          <t>Arjun Mehta</t>
        </is>
      </c>
      <c r="G605" s="5" t="inlineStr">
        <is>
          <t>Apparel</t>
        </is>
      </c>
      <c r="H605" s="4" t="inlineStr">
        <is>
          <t>Formal Shirt</t>
        </is>
      </c>
      <c r="I605" s="4" t="n">
        <v>6</v>
      </c>
      <c r="J605" s="5" t="n">
        <v>85.43000000000001</v>
      </c>
      <c r="K605" s="5" t="n">
        <v>512.58</v>
      </c>
      <c r="L605" s="5" t="n">
        <v>230.66</v>
      </c>
      <c r="M605" s="4" t="n">
        <v>281.92</v>
      </c>
      <c r="N605" s="4" t="inlineStr">
        <is>
          <t>New</t>
        </is>
      </c>
      <c r="O605" s="4" t="inlineStr">
        <is>
          <t>Online</t>
        </is>
      </c>
      <c r="P605" s="5" t="n">
        <v>471.04</v>
      </c>
      <c r="Q605" s="5" t="n">
        <v>108.82</v>
      </c>
      <c r="R605" s="5" t="inlineStr"/>
    </row>
    <row r="606">
      <c r="A606" s="2" t="inlineStr">
        <is>
          <t>ORD-1605</t>
        </is>
      </c>
      <c r="B606" s="3" t="inlineStr">
        <is>
          <t>29-11-2024</t>
        </is>
      </c>
      <c r="C606" s="3" t="inlineStr">
        <is>
          <t>Nov-2024</t>
        </is>
      </c>
      <c r="D606" s="2" t="inlineStr">
        <is>
          <t>North</t>
        </is>
      </c>
      <c r="E606" s="2" t="inlineStr">
        <is>
          <t>Chandigarh</t>
        </is>
      </c>
      <c r="F606" s="3" t="inlineStr">
        <is>
          <t>Kavita Rao</t>
        </is>
      </c>
      <c r="G606" s="3" t="inlineStr">
        <is>
          <t>Furniture</t>
        </is>
      </c>
      <c r="H606" s="2" t="inlineStr">
        <is>
          <t>Cabinet</t>
        </is>
      </c>
      <c r="I606" s="2" t="n">
        <v>9</v>
      </c>
      <c r="J606" s="3" t="n">
        <v>292.18</v>
      </c>
      <c r="K606" s="3" t="n">
        <v>2629.62</v>
      </c>
      <c r="L606" s="3" t="n">
        <v>1446.29</v>
      </c>
      <c r="M606" s="2" t="n">
        <v>1183.33</v>
      </c>
      <c r="N606" s="2" t="inlineStr">
        <is>
          <t>New</t>
        </is>
      </c>
      <c r="O606" s="2" t="inlineStr">
        <is>
          <t>Online</t>
        </is>
      </c>
      <c r="P606" s="3" t="n">
        <v>2978.77</v>
      </c>
      <c r="Q606" s="3" t="n">
        <v>88.28</v>
      </c>
      <c r="R606" s="3" t="inlineStr"/>
    </row>
    <row r="607">
      <c r="A607" s="4" t="inlineStr">
        <is>
          <t>ORD-1606</t>
        </is>
      </c>
      <c r="B607" s="5" t="inlineStr">
        <is>
          <t>30-11-2024</t>
        </is>
      </c>
      <c r="C607" s="5" t="inlineStr">
        <is>
          <t>Nov-2024</t>
        </is>
      </c>
      <c r="D607" s="4" t="inlineStr">
        <is>
          <t>South</t>
        </is>
      </c>
      <c r="E607" s="4" t="inlineStr">
        <is>
          <t>Bangalore</t>
        </is>
      </c>
      <c r="F607" s="5" t="inlineStr">
        <is>
          <t>Pooja Joshi</t>
        </is>
      </c>
      <c r="G607" s="5" t="inlineStr">
        <is>
          <t>Furniture</t>
        </is>
      </c>
      <c r="H607" s="4" t="inlineStr">
        <is>
          <t>Bookshelf</t>
        </is>
      </c>
      <c r="I607" s="4" t="n">
        <v>4</v>
      </c>
      <c r="J607" s="5" t="n">
        <v>216.82</v>
      </c>
      <c r="K607" s="5" t="n">
        <v>867.28</v>
      </c>
      <c r="L607" s="5" t="n">
        <v>477</v>
      </c>
      <c r="M607" s="4" t="n">
        <v>390.28</v>
      </c>
      <c r="N607" s="4" t="inlineStr">
        <is>
          <t>Existing</t>
        </is>
      </c>
      <c r="O607" s="4" t="inlineStr">
        <is>
          <t>Offline</t>
        </is>
      </c>
      <c r="P607" s="5" t="n">
        <v>1027.08</v>
      </c>
      <c r="Q607" s="5" t="n">
        <v>84.44</v>
      </c>
      <c r="R607" s="5" t="inlineStr"/>
    </row>
    <row r="608">
      <c r="A608" s="2" t="inlineStr">
        <is>
          <t>ORD-1607</t>
        </is>
      </c>
      <c r="B608" s="3" t="inlineStr">
        <is>
          <t>30-11-2024</t>
        </is>
      </c>
      <c r="C608" s="3" t="inlineStr">
        <is>
          <t>Nov-2024</t>
        </is>
      </c>
      <c r="D608" s="2" t="inlineStr">
        <is>
          <t>West</t>
        </is>
      </c>
      <c r="E608" s="2" t="inlineStr">
        <is>
          <t>Ahmedabad</t>
        </is>
      </c>
      <c r="F608" s="3" t="inlineStr">
        <is>
          <t>Arjun Mehta</t>
        </is>
      </c>
      <c r="G608" s="3" t="inlineStr">
        <is>
          <t>Electronics</t>
        </is>
      </c>
      <c r="H608" s="2" t="inlineStr">
        <is>
          <t>Tablet</t>
        </is>
      </c>
      <c r="I608" s="2" t="n">
        <v>10</v>
      </c>
      <c r="J608" s="3" t="n">
        <v>596.87</v>
      </c>
      <c r="K608" s="3" t="n">
        <v>5968.7</v>
      </c>
      <c r="L608" s="3" t="n">
        <v>3581.22</v>
      </c>
      <c r="M608" s="2" t="n">
        <v>2387.48</v>
      </c>
      <c r="N608" s="2" t="inlineStr">
        <is>
          <t>Existing</t>
        </is>
      </c>
      <c r="O608" s="2" t="inlineStr">
        <is>
          <t>Online</t>
        </is>
      </c>
      <c r="P608" s="3" t="n">
        <v>7161.18</v>
      </c>
      <c r="Q608" s="3" t="n">
        <v>83.34999999999999</v>
      </c>
      <c r="R608" s="3" t="inlineStr"/>
    </row>
    <row r="609">
      <c r="A609" s="4" t="inlineStr">
        <is>
          <t>ORD-1608</t>
        </is>
      </c>
      <c r="B609" s="5" t="inlineStr">
        <is>
          <t>01-12-2024</t>
        </is>
      </c>
      <c r="C609" s="5" t="inlineStr">
        <is>
          <t>Dec-2024</t>
        </is>
      </c>
      <c r="D609" s="4" t="inlineStr">
        <is>
          <t>East</t>
        </is>
      </c>
      <c r="E609" s="4" t="inlineStr">
        <is>
          <t>Patna</t>
        </is>
      </c>
      <c r="F609" s="5" t="inlineStr">
        <is>
          <t>Priya Patel</t>
        </is>
      </c>
      <c r="G609" s="5" t="inlineStr">
        <is>
          <t>Software</t>
        </is>
      </c>
      <c r="H609" s="4" t="inlineStr">
        <is>
          <t>ERP Suite</t>
        </is>
      </c>
      <c r="I609" s="4" t="n">
        <v>5</v>
      </c>
      <c r="J609" s="5" t="n">
        <v>5178.01</v>
      </c>
      <c r="K609" s="5" t="n">
        <v>25890.05</v>
      </c>
      <c r="L609" s="5" t="n">
        <v>7767.01</v>
      </c>
      <c r="M609" s="4" t="n">
        <v>18123.04</v>
      </c>
      <c r="N609" s="4" t="inlineStr">
        <is>
          <t>New</t>
        </is>
      </c>
      <c r="O609" s="4" t="inlineStr">
        <is>
          <t>Offline</t>
        </is>
      </c>
      <c r="P609" s="5" t="n">
        <v>21033.02</v>
      </c>
      <c r="Q609" s="5" t="n">
        <v>123.09</v>
      </c>
      <c r="R609" s="5" t="inlineStr"/>
    </row>
    <row r="610">
      <c r="A610" s="2" t="inlineStr">
        <is>
          <t>ORD-1609</t>
        </is>
      </c>
      <c r="B610" s="3" t="inlineStr">
        <is>
          <t>02-12-2024</t>
        </is>
      </c>
      <c r="C610" s="3" t="inlineStr">
        <is>
          <t>Dec-2024</t>
        </is>
      </c>
      <c r="D610" s="2" t="inlineStr">
        <is>
          <t>South</t>
        </is>
      </c>
      <c r="E610" s="2" t="inlineStr">
        <is>
          <t>Bangalore</t>
        </is>
      </c>
      <c r="F610" s="3" t="inlineStr">
        <is>
          <t>Deepa Nair</t>
        </is>
      </c>
      <c r="G610" s="3" t="inlineStr">
        <is>
          <t>Electronics</t>
        </is>
      </c>
      <c r="H610" s="2" t="inlineStr">
        <is>
          <t>Tablet</t>
        </is>
      </c>
      <c r="I610" s="2" t="n">
        <v>2</v>
      </c>
      <c r="J610" s="3" t="n">
        <v>612.98</v>
      </c>
      <c r="K610" s="3" t="n">
        <v>1225.96</v>
      </c>
      <c r="L610" s="3" t="n">
        <v>735.58</v>
      </c>
      <c r="M610" s="2" t="n">
        <v>490.38</v>
      </c>
      <c r="N610" s="2" t="inlineStr">
        <is>
          <t>New</t>
        </is>
      </c>
      <c r="O610" s="2" t="inlineStr">
        <is>
          <t>Online</t>
        </is>
      </c>
      <c r="P610" s="3" t="n">
        <v>1459.68</v>
      </c>
      <c r="Q610" s="3" t="n">
        <v>83.98999999999999</v>
      </c>
      <c r="R610" s="3" t="inlineStr"/>
    </row>
    <row r="611">
      <c r="A611" s="4" t="inlineStr">
        <is>
          <t>ORD-1610</t>
        </is>
      </c>
      <c r="B611" s="5" t="inlineStr">
        <is>
          <t>02-12-2024</t>
        </is>
      </c>
      <c r="C611" s="5" t="inlineStr">
        <is>
          <t>Dec-2024</t>
        </is>
      </c>
      <c r="D611" s="4" t="inlineStr">
        <is>
          <t>East</t>
        </is>
      </c>
      <c r="E611" s="4" t="inlineStr">
        <is>
          <t>Kolkata</t>
        </is>
      </c>
      <c r="F611" s="5" t="inlineStr">
        <is>
          <t>Rahul Sharma</t>
        </is>
      </c>
      <c r="G611" s="5" t="inlineStr">
        <is>
          <t>Electronics</t>
        </is>
      </c>
      <c r="H611" s="4" t="inlineStr">
        <is>
          <t>Smartwatch</t>
        </is>
      </c>
      <c r="I611" s="4" t="n">
        <v>3</v>
      </c>
      <c r="J611" s="5" t="n">
        <v>328.55</v>
      </c>
      <c r="K611" s="5" t="n">
        <v>985.65</v>
      </c>
      <c r="L611" s="5" t="n">
        <v>591.39</v>
      </c>
      <c r="M611" s="4" t="n">
        <v>394.26</v>
      </c>
      <c r="N611" s="4" t="inlineStr">
        <is>
          <t>Existing</t>
        </is>
      </c>
      <c r="O611" s="4" t="inlineStr">
        <is>
          <t>Online</t>
        </is>
      </c>
      <c r="P611" s="5" t="n">
        <v>1030.23</v>
      </c>
      <c r="Q611" s="5" t="n">
        <v>95.67</v>
      </c>
      <c r="R611" s="5" t="inlineStr"/>
    </row>
    <row r="612">
      <c r="A612" s="2" t="inlineStr">
        <is>
          <t>ORD-1611</t>
        </is>
      </c>
      <c r="B612" s="3" t="inlineStr">
        <is>
          <t>02-12-2024</t>
        </is>
      </c>
      <c r="C612" s="3" t="inlineStr">
        <is>
          <t>Dec-2024</t>
        </is>
      </c>
      <c r="D612" s="2" t="inlineStr">
        <is>
          <t>North</t>
        </is>
      </c>
      <c r="E612" s="2" t="inlineStr">
        <is>
          <t>Lucknow</t>
        </is>
      </c>
      <c r="F612" s="3" t="inlineStr">
        <is>
          <t>Deepa Nair</t>
        </is>
      </c>
      <c r="G612" s="3" t="inlineStr">
        <is>
          <t>Software</t>
        </is>
      </c>
      <c r="H612" s="2" t="inlineStr">
        <is>
          <t>CRM Tool</t>
        </is>
      </c>
      <c r="I612" s="2" t="n">
        <v>14</v>
      </c>
      <c r="J612" s="3" t="n">
        <v>2921.78</v>
      </c>
      <c r="K612" s="3" t="n">
        <v>40904.92</v>
      </c>
      <c r="L612" s="3" t="n">
        <v>12271.48</v>
      </c>
      <c r="M612" s="2" t="n">
        <v>28633.44</v>
      </c>
      <c r="N612" s="2" t="inlineStr">
        <is>
          <t>Existing</t>
        </is>
      </c>
      <c r="O612" s="2" t="inlineStr">
        <is>
          <t>Online</t>
        </is>
      </c>
      <c r="P612" s="3" t="n">
        <v>38545.74</v>
      </c>
      <c r="Q612" s="3" t="n">
        <v>106.12</v>
      </c>
      <c r="R612" s="3" t="inlineStr"/>
    </row>
    <row r="613">
      <c r="A613" s="4" t="inlineStr">
        <is>
          <t>ORD-1612</t>
        </is>
      </c>
      <c r="B613" s="5" t="inlineStr">
        <is>
          <t>03-12-2024</t>
        </is>
      </c>
      <c r="C613" s="5" t="inlineStr">
        <is>
          <t>Dec-2024</t>
        </is>
      </c>
      <c r="D613" s="4" t="inlineStr">
        <is>
          <t>East</t>
        </is>
      </c>
      <c r="E613" s="4" t="inlineStr">
        <is>
          <t>Bhubaneswar</t>
        </is>
      </c>
      <c r="F613" s="5" t="inlineStr">
        <is>
          <t>Ravi Verma</t>
        </is>
      </c>
      <c r="G613" s="5" t="inlineStr">
        <is>
          <t>Electronics</t>
        </is>
      </c>
      <c r="H613" s="4" t="inlineStr">
        <is>
          <t>Smartphone</t>
        </is>
      </c>
      <c r="I613" s="4" t="n">
        <v>15</v>
      </c>
      <c r="J613" s="5" t="n">
        <v>838.64</v>
      </c>
      <c r="K613" s="5" t="n">
        <v>12579.6</v>
      </c>
      <c r="L613" s="5" t="n">
        <v>7547.76</v>
      </c>
      <c r="M613" s="4" t="n">
        <v>5031.84</v>
      </c>
      <c r="N613" s="4" t="inlineStr">
        <is>
          <t>Existing</t>
        </is>
      </c>
      <c r="O613" s="4" t="inlineStr">
        <is>
          <t>Offline</t>
        </is>
      </c>
      <c r="P613" s="5" t="n">
        <v>11879.13</v>
      </c>
      <c r="Q613" s="5" t="n">
        <v>105.9</v>
      </c>
      <c r="R613" s="5" t="inlineStr"/>
    </row>
    <row r="614">
      <c r="A614" s="2" t="inlineStr">
        <is>
          <t>ORD-1613</t>
        </is>
      </c>
      <c r="B614" s="3" t="inlineStr">
        <is>
          <t>03-12-2024</t>
        </is>
      </c>
      <c r="C614" s="3" t="inlineStr">
        <is>
          <t>Dec-2024</t>
        </is>
      </c>
      <c r="D614" s="2" t="inlineStr">
        <is>
          <t>West</t>
        </is>
      </c>
      <c r="E614" s="2" t="inlineStr">
        <is>
          <t>Pune</t>
        </is>
      </c>
      <c r="F614" s="3" t="inlineStr">
        <is>
          <t>Amit Kumar</t>
        </is>
      </c>
      <c r="G614" s="3" t="inlineStr">
        <is>
          <t>Furniture</t>
        </is>
      </c>
      <c r="H614" s="2" t="inlineStr">
        <is>
          <t>Office Chair</t>
        </is>
      </c>
      <c r="I614" s="2" t="n">
        <v>5</v>
      </c>
      <c r="J614" s="3" t="n">
        <v>329.54</v>
      </c>
      <c r="K614" s="3" t="n">
        <v>1647.7</v>
      </c>
      <c r="L614" s="3" t="n">
        <v>906.24</v>
      </c>
      <c r="M614" s="2" t="n">
        <v>741.46</v>
      </c>
      <c r="N614" s="2" t="inlineStr">
        <is>
          <t>Existing</t>
        </is>
      </c>
      <c r="O614" s="2" t="inlineStr">
        <is>
          <t>Offline</t>
        </is>
      </c>
      <c r="P614" s="3" t="n">
        <v>1372.63</v>
      </c>
      <c r="Q614" s="3" t="n">
        <v>120.04</v>
      </c>
      <c r="R614" s="3" t="inlineStr"/>
    </row>
    <row r="615">
      <c r="A615" s="4" t="inlineStr">
        <is>
          <t>ORD-1614</t>
        </is>
      </c>
      <c r="B615" s="5" t="inlineStr">
        <is>
          <t>04-12-2024</t>
        </is>
      </c>
      <c r="C615" s="5" t="inlineStr">
        <is>
          <t>Dec-2024</t>
        </is>
      </c>
      <c r="D615" s="4" t="inlineStr">
        <is>
          <t>West</t>
        </is>
      </c>
      <c r="E615" s="4" t="inlineStr">
        <is>
          <t>Mumbai</t>
        </is>
      </c>
      <c r="F615" s="5" t="inlineStr">
        <is>
          <t>Rahul Sharma</t>
        </is>
      </c>
      <c r="G615" s="5" t="inlineStr">
        <is>
          <t>Software</t>
        </is>
      </c>
      <c r="H615" s="4" t="inlineStr">
        <is>
          <t>Analytics Pro</t>
        </is>
      </c>
      <c r="I615" s="4" t="n">
        <v>14</v>
      </c>
      <c r="J615" s="5" t="n">
        <v>2337.45</v>
      </c>
      <c r="K615" s="5" t="n">
        <v>32724.3</v>
      </c>
      <c r="L615" s="5" t="n">
        <v>9817.290000000001</v>
      </c>
      <c r="M615" s="4" t="n">
        <v>22907.01</v>
      </c>
      <c r="N615" s="4" t="inlineStr">
        <is>
          <t>Existing</t>
        </is>
      </c>
      <c r="O615" s="4" t="inlineStr">
        <is>
          <t>Online</t>
        </is>
      </c>
      <c r="P615" s="5" t="n">
        <v>29439.72</v>
      </c>
      <c r="Q615" s="5" t="n">
        <v>111.16</v>
      </c>
      <c r="R615" s="5" t="inlineStr"/>
    </row>
    <row r="616">
      <c r="A616" s="2" t="inlineStr">
        <is>
          <t>ORD-1615</t>
        </is>
      </c>
      <c r="B616" s="3" t="inlineStr">
        <is>
          <t>04-12-2024</t>
        </is>
      </c>
      <c r="C616" s="3" t="inlineStr">
        <is>
          <t>Dec-2024</t>
        </is>
      </c>
      <c r="D616" s="2" t="inlineStr">
        <is>
          <t>West</t>
        </is>
      </c>
      <c r="E616" s="2" t="inlineStr">
        <is>
          <t>Ahmedabad</t>
        </is>
      </c>
      <c r="F616" s="3" t="inlineStr">
        <is>
          <t>Ravi Verma</t>
        </is>
      </c>
      <c r="G616" s="3" t="inlineStr">
        <is>
          <t>Software</t>
        </is>
      </c>
      <c r="H616" s="2" t="inlineStr">
        <is>
          <t>ERP Suite</t>
        </is>
      </c>
      <c r="I616" s="2" t="n">
        <v>10</v>
      </c>
      <c r="J616" s="3" t="n">
        <v>5334.59</v>
      </c>
      <c r="K616" s="3" t="n">
        <v>53345.9</v>
      </c>
      <c r="L616" s="3" t="n">
        <v>16003.77</v>
      </c>
      <c r="M616" s="2" t="n">
        <v>37342.13</v>
      </c>
      <c r="N616" s="2" t="inlineStr">
        <is>
          <t>Existing</t>
        </is>
      </c>
      <c r="O616" s="2" t="inlineStr">
        <is>
          <t>Offline</t>
        </is>
      </c>
      <c r="P616" s="3" t="n">
        <v>57594.4</v>
      </c>
      <c r="Q616" s="3" t="n">
        <v>92.62</v>
      </c>
      <c r="R616" s="3" t="inlineStr"/>
    </row>
    <row r="617">
      <c r="A617" s="4" t="inlineStr">
        <is>
          <t>ORD-1616</t>
        </is>
      </c>
      <c r="B617" s="5" t="inlineStr">
        <is>
          <t>04-12-2024</t>
        </is>
      </c>
      <c r="C617" s="5" t="inlineStr">
        <is>
          <t>Dec-2024</t>
        </is>
      </c>
      <c r="D617" s="4" t="inlineStr">
        <is>
          <t>West</t>
        </is>
      </c>
      <c r="E617" s="4" t="inlineStr">
        <is>
          <t>Mumbai</t>
        </is>
      </c>
      <c r="F617" s="5" t="inlineStr">
        <is>
          <t>Rahul Sharma</t>
        </is>
      </c>
      <c r="G617" s="5" t="inlineStr">
        <is>
          <t>Electronics</t>
        </is>
      </c>
      <c r="H617" s="4" t="inlineStr">
        <is>
          <t>Smartphone</t>
        </is>
      </c>
      <c r="I617" s="4" t="n">
        <v>9</v>
      </c>
      <c r="J617" s="5" t="n">
        <v>768.03</v>
      </c>
      <c r="K617" s="5" t="n">
        <v>6912.27</v>
      </c>
      <c r="L617" s="5" t="n">
        <v>4147.36</v>
      </c>
      <c r="M617" s="4" t="n">
        <v>2764.91</v>
      </c>
      <c r="N617" s="4" t="inlineStr">
        <is>
          <t>Existing</t>
        </is>
      </c>
      <c r="O617" s="4" t="inlineStr">
        <is>
          <t>Online</t>
        </is>
      </c>
      <c r="P617" s="5" t="n">
        <v>7789.48</v>
      </c>
      <c r="Q617" s="5" t="n">
        <v>88.73999999999999</v>
      </c>
      <c r="R617" s="5" t="inlineStr"/>
    </row>
    <row r="618">
      <c r="A618" s="2" t="inlineStr">
        <is>
          <t>ORD-1617</t>
        </is>
      </c>
      <c r="B618" s="3" t="inlineStr">
        <is>
          <t>05-12-2024</t>
        </is>
      </c>
      <c r="C618" s="3" t="inlineStr">
        <is>
          <t>Dec-2024</t>
        </is>
      </c>
      <c r="D618" s="2" t="inlineStr">
        <is>
          <t>West</t>
        </is>
      </c>
      <c r="E618" s="2" t="inlineStr">
        <is>
          <t>Mumbai</t>
        </is>
      </c>
      <c r="F618" s="3" t="inlineStr">
        <is>
          <t>Pooja Joshi</t>
        </is>
      </c>
      <c r="G618" s="3" t="inlineStr">
        <is>
          <t>Furniture</t>
        </is>
      </c>
      <c r="H618" s="2" t="inlineStr">
        <is>
          <t>Office Chair</t>
        </is>
      </c>
      <c r="I618" s="2" t="n">
        <v>4</v>
      </c>
      <c r="J618" s="3" t="n">
        <v>368.53</v>
      </c>
      <c r="K618" s="3" t="n">
        <v>1474.12</v>
      </c>
      <c r="L618" s="3" t="n">
        <v>810.77</v>
      </c>
      <c r="M618" s="2" t="n">
        <v>663.35</v>
      </c>
      <c r="N618" s="2" t="inlineStr">
        <is>
          <t>Existing</t>
        </is>
      </c>
      <c r="O618" s="2" t="inlineStr">
        <is>
          <t>Online</t>
        </is>
      </c>
      <c r="P618" s="3" t="n">
        <v>1620.71</v>
      </c>
      <c r="Q618" s="3" t="n">
        <v>90.95999999999999</v>
      </c>
      <c r="R618" s="3" t="inlineStr"/>
    </row>
    <row r="619">
      <c r="A619" s="4" t="inlineStr">
        <is>
          <t>ORD-1618</t>
        </is>
      </c>
      <c r="B619" s="5" t="inlineStr">
        <is>
          <t>05-12-2024</t>
        </is>
      </c>
      <c r="C619" s="5" t="inlineStr">
        <is>
          <t>Dec-2024</t>
        </is>
      </c>
      <c r="D619" s="4" t="inlineStr">
        <is>
          <t>East</t>
        </is>
      </c>
      <c r="E619" s="4" t="inlineStr">
        <is>
          <t>Patna</t>
        </is>
      </c>
      <c r="F619" s="5" t="inlineStr">
        <is>
          <t>Pooja Joshi</t>
        </is>
      </c>
      <c r="G619" s="5" t="inlineStr">
        <is>
          <t>Software</t>
        </is>
      </c>
      <c r="H619" s="4" t="inlineStr">
        <is>
          <t>Analytics Pro</t>
        </is>
      </c>
      <c r="I619" s="4" t="n">
        <v>16</v>
      </c>
      <c r="J619" s="5" t="n">
        <v>2737.13</v>
      </c>
      <c r="K619" s="5" t="n">
        <v>43794.08</v>
      </c>
      <c r="L619" s="5" t="n">
        <v>13138.22</v>
      </c>
      <c r="M619" s="4" t="n">
        <v>30655.86</v>
      </c>
      <c r="N619" s="4" t="inlineStr">
        <is>
          <t>New</t>
        </is>
      </c>
      <c r="O619" s="4" t="inlineStr">
        <is>
          <t>Offline</t>
        </is>
      </c>
      <c r="P619" s="5" t="n">
        <v>46258.06</v>
      </c>
      <c r="Q619" s="5" t="n">
        <v>94.67</v>
      </c>
      <c r="R619" s="5" t="inlineStr"/>
    </row>
    <row r="620">
      <c r="A620" s="2" t="inlineStr">
        <is>
          <t>ORD-1619</t>
        </is>
      </c>
      <c r="B620" s="3" t="inlineStr">
        <is>
          <t>06-12-2024</t>
        </is>
      </c>
      <c r="C620" s="3" t="inlineStr">
        <is>
          <t>Dec-2024</t>
        </is>
      </c>
      <c r="D620" s="2" t="inlineStr">
        <is>
          <t>North</t>
        </is>
      </c>
      <c r="E620" s="2" t="inlineStr">
        <is>
          <t>Chandigarh</t>
        </is>
      </c>
      <c r="F620" s="3" t="inlineStr">
        <is>
          <t>Arjun Mehta</t>
        </is>
      </c>
      <c r="G620" s="3" t="inlineStr">
        <is>
          <t>Electronics</t>
        </is>
      </c>
      <c r="H620" s="2" t="inlineStr">
        <is>
          <t>Smartphone</t>
        </is>
      </c>
      <c r="I620" s="2" t="n">
        <v>11</v>
      </c>
      <c r="J620" s="3" t="n">
        <v>793.77</v>
      </c>
      <c r="K620" s="3" t="n">
        <v>8731.469999999999</v>
      </c>
      <c r="L620" s="3" t="n">
        <v>5238.88</v>
      </c>
      <c r="M620" s="2" t="n">
        <v>3492.59</v>
      </c>
      <c r="N620" s="2" t="inlineStr">
        <is>
          <t>New</t>
        </is>
      </c>
      <c r="O620" s="2" t="inlineStr">
        <is>
          <t>Offline</t>
        </is>
      </c>
      <c r="P620" s="3" t="n">
        <v>7698.14</v>
      </c>
      <c r="Q620" s="3" t="n">
        <v>113.42</v>
      </c>
      <c r="R620" s="3" t="inlineStr"/>
    </row>
    <row r="621">
      <c r="A621" s="4" t="inlineStr">
        <is>
          <t>ORD-1620</t>
        </is>
      </c>
      <c r="B621" s="5" t="inlineStr">
        <is>
          <t>06-12-2024</t>
        </is>
      </c>
      <c r="C621" s="5" t="inlineStr">
        <is>
          <t>Dec-2024</t>
        </is>
      </c>
      <c r="D621" s="4" t="inlineStr">
        <is>
          <t>East</t>
        </is>
      </c>
      <c r="E621" s="4" t="inlineStr">
        <is>
          <t>Bhubaneswar</t>
        </is>
      </c>
      <c r="F621" s="5" t="inlineStr">
        <is>
          <t>Amit Kumar</t>
        </is>
      </c>
      <c r="G621" s="5" t="inlineStr">
        <is>
          <t>Apparel</t>
        </is>
      </c>
      <c r="H621" s="4" t="inlineStr">
        <is>
          <t>Jacket</t>
        </is>
      </c>
      <c r="I621" s="4" t="n">
        <v>10</v>
      </c>
      <c r="J621" s="5" t="n">
        <v>115</v>
      </c>
      <c r="K621" s="5" t="n">
        <v>1150</v>
      </c>
      <c r="L621" s="5" t="n">
        <v>517.5</v>
      </c>
      <c r="M621" s="4" t="n">
        <v>632.5</v>
      </c>
      <c r="N621" s="4" t="inlineStr">
        <is>
          <t>New</t>
        </is>
      </c>
      <c r="O621" s="4" t="inlineStr">
        <is>
          <t>Online</t>
        </is>
      </c>
      <c r="P621" s="5" t="n">
        <v>1360.7</v>
      </c>
      <c r="Q621" s="5" t="n">
        <v>84.52</v>
      </c>
      <c r="R621" s="5" t="inlineStr"/>
    </row>
    <row r="622">
      <c r="A622" s="2" t="inlineStr">
        <is>
          <t>ORD-1621</t>
        </is>
      </c>
      <c r="B622" s="3" t="inlineStr">
        <is>
          <t>06-12-2024</t>
        </is>
      </c>
      <c r="C622" s="3" t="inlineStr">
        <is>
          <t>Dec-2024</t>
        </is>
      </c>
      <c r="D622" s="2" t="inlineStr">
        <is>
          <t>South</t>
        </is>
      </c>
      <c r="E622" s="2" t="inlineStr">
        <is>
          <t>Chennai</t>
        </is>
      </c>
      <c r="F622" s="3" t="inlineStr">
        <is>
          <t>Kavita Rao</t>
        </is>
      </c>
      <c r="G622" s="3" t="inlineStr">
        <is>
          <t>Furniture</t>
        </is>
      </c>
      <c r="H622" s="2" t="inlineStr">
        <is>
          <t>Bookshelf</t>
        </is>
      </c>
      <c r="I622" s="2" t="n">
        <v>11</v>
      </c>
      <c r="J622" s="3" t="n">
        <v>213.07</v>
      </c>
      <c r="K622" s="3" t="n">
        <v>2343.77</v>
      </c>
      <c r="L622" s="3" t="n">
        <v>1289.07</v>
      </c>
      <c r="M622" s="2" t="n">
        <v>1054.7</v>
      </c>
      <c r="N622" s="2" t="inlineStr">
        <is>
          <t>Existing</t>
        </is>
      </c>
      <c r="O622" s="2" t="inlineStr">
        <is>
          <t>Offline</t>
        </is>
      </c>
      <c r="P622" s="3" t="n">
        <v>2678.28</v>
      </c>
      <c r="Q622" s="3" t="n">
        <v>87.51000000000001</v>
      </c>
      <c r="R622" s="3" t="inlineStr"/>
    </row>
    <row r="623">
      <c r="A623" s="4" t="inlineStr">
        <is>
          <t>ORD-1622</t>
        </is>
      </c>
      <c r="B623" s="5" t="inlineStr">
        <is>
          <t>07-12-2024</t>
        </is>
      </c>
      <c r="C623" s="5" t="inlineStr">
        <is>
          <t>Dec-2024</t>
        </is>
      </c>
      <c r="D623" s="4" t="inlineStr">
        <is>
          <t>East</t>
        </is>
      </c>
      <c r="E623" s="4" t="inlineStr">
        <is>
          <t>Kolkata</t>
        </is>
      </c>
      <c r="F623" s="5" t="inlineStr">
        <is>
          <t>Ravi Verma</t>
        </is>
      </c>
      <c r="G623" s="5" t="inlineStr">
        <is>
          <t>Apparel</t>
        </is>
      </c>
      <c r="H623" s="4" t="inlineStr">
        <is>
          <t>Formal Shirt</t>
        </is>
      </c>
      <c r="I623" s="4" t="n">
        <v>1</v>
      </c>
      <c r="J623" s="5" t="n">
        <v>74.19</v>
      </c>
      <c r="K623" s="5" t="n">
        <v>74.19</v>
      </c>
      <c r="L623" s="5" t="n">
        <v>33.39</v>
      </c>
      <c r="M623" s="4" t="n">
        <v>40.8</v>
      </c>
      <c r="N623" s="4" t="inlineStr">
        <is>
          <t>Existing</t>
        </is>
      </c>
      <c r="O623" s="4" t="inlineStr">
        <is>
          <t>Offline</t>
        </is>
      </c>
      <c r="P623" s="5" t="n">
        <v>88.23999999999999</v>
      </c>
      <c r="Q623" s="5" t="n">
        <v>84.08</v>
      </c>
      <c r="R623" s="5" t="inlineStr"/>
    </row>
    <row r="624">
      <c r="A624" s="2" t="inlineStr">
        <is>
          <t>ORD-1623</t>
        </is>
      </c>
      <c r="B624" s="3" t="inlineStr">
        <is>
          <t>07-12-2024</t>
        </is>
      </c>
      <c r="C624" s="3" t="inlineStr">
        <is>
          <t>Dec-2024</t>
        </is>
      </c>
      <c r="D624" s="2" t="inlineStr">
        <is>
          <t>West</t>
        </is>
      </c>
      <c r="E624" s="2" t="inlineStr">
        <is>
          <t>Ahmedabad</t>
        </is>
      </c>
      <c r="F624" s="3" t="inlineStr">
        <is>
          <t>Arjun Mehta</t>
        </is>
      </c>
      <c r="G624" s="3" t="inlineStr">
        <is>
          <t>Electronics</t>
        </is>
      </c>
      <c r="H624" s="2" t="inlineStr">
        <is>
          <t>Smartphone</t>
        </is>
      </c>
      <c r="I624" s="2" t="n">
        <v>5</v>
      </c>
      <c r="J624" s="3" t="n">
        <v>800.54</v>
      </c>
      <c r="K624" s="3" t="n">
        <v>4002.7</v>
      </c>
      <c r="L624" s="3" t="n">
        <v>2401.62</v>
      </c>
      <c r="M624" s="2" t="n">
        <v>1601.08</v>
      </c>
      <c r="N624" s="2" t="inlineStr">
        <is>
          <t>New</t>
        </is>
      </c>
      <c r="O624" s="2" t="inlineStr">
        <is>
          <t>Online</t>
        </is>
      </c>
      <c r="P624" s="3" t="n">
        <v>4037.42</v>
      </c>
      <c r="Q624" s="3" t="n">
        <v>99.14</v>
      </c>
      <c r="R624" s="3" t="inlineStr"/>
    </row>
    <row r="625">
      <c r="A625" s="4" t="inlineStr">
        <is>
          <t>ORD-1624</t>
        </is>
      </c>
      <c r="B625" s="5" t="inlineStr">
        <is>
          <t>07-12-2024</t>
        </is>
      </c>
      <c r="C625" s="5" t="inlineStr">
        <is>
          <t>Dec-2024</t>
        </is>
      </c>
      <c r="D625" s="4" t="inlineStr">
        <is>
          <t>North</t>
        </is>
      </c>
      <c r="E625" s="4" t="inlineStr">
        <is>
          <t>Delhi</t>
        </is>
      </c>
      <c r="F625" s="5" t="inlineStr">
        <is>
          <t>Arjun Mehta</t>
        </is>
      </c>
      <c r="G625" s="5" t="inlineStr">
        <is>
          <t>Electronics</t>
        </is>
      </c>
      <c r="H625" s="4" t="inlineStr">
        <is>
          <t>Smartwatch</t>
        </is>
      </c>
      <c r="I625" s="4" t="n">
        <v>12</v>
      </c>
      <c r="J625" s="5" t="n">
        <v>288.69</v>
      </c>
      <c r="K625" s="5" t="n">
        <v>3464.28</v>
      </c>
      <c r="L625" s="5" t="n">
        <v>2078.57</v>
      </c>
      <c r="M625" s="4" t="n">
        <v>1385.71</v>
      </c>
      <c r="N625" s="4" t="inlineStr">
        <is>
          <t>Existing</t>
        </is>
      </c>
      <c r="O625" s="4" t="inlineStr">
        <is>
          <t>Online</t>
        </is>
      </c>
      <c r="P625" s="5" t="n">
        <v>4186.65</v>
      </c>
      <c r="Q625" s="5" t="n">
        <v>82.75</v>
      </c>
      <c r="R625" s="5" t="inlineStr"/>
    </row>
    <row r="626">
      <c r="A626" s="2" t="inlineStr">
        <is>
          <t>ORD-1625</t>
        </is>
      </c>
      <c r="B626" s="3" t="inlineStr">
        <is>
          <t>08-12-2024</t>
        </is>
      </c>
      <c r="C626" s="3" t="inlineStr">
        <is>
          <t>Dec-2024</t>
        </is>
      </c>
      <c r="D626" s="2" t="inlineStr">
        <is>
          <t>South</t>
        </is>
      </c>
      <c r="E626" s="2" t="inlineStr">
        <is>
          <t>Hyderabad</t>
        </is>
      </c>
      <c r="F626" s="3" t="inlineStr">
        <is>
          <t>Vikram Singh</t>
        </is>
      </c>
      <c r="G626" s="3" t="inlineStr">
        <is>
          <t>Electronics</t>
        </is>
      </c>
      <c r="H626" s="2" t="inlineStr">
        <is>
          <t>Laptop</t>
        </is>
      </c>
      <c r="I626" s="2" t="n">
        <v>8</v>
      </c>
      <c r="J626" s="3" t="n">
        <v>1110.89</v>
      </c>
      <c r="K626" s="3" t="n">
        <v>8887.120000000001</v>
      </c>
      <c r="L626" s="3" t="n">
        <v>5332.27</v>
      </c>
      <c r="M626" s="2" t="n">
        <v>3554.85</v>
      </c>
      <c r="N626" s="2" t="inlineStr">
        <is>
          <t>New</t>
        </is>
      </c>
      <c r="O626" s="2" t="inlineStr">
        <is>
          <t>Online</t>
        </is>
      </c>
      <c r="P626" s="3" t="n">
        <v>8475.77</v>
      </c>
      <c r="Q626" s="3" t="n">
        <v>104.85</v>
      </c>
      <c r="R626" s="3" t="inlineStr"/>
    </row>
    <row r="627">
      <c r="A627" s="4" t="inlineStr">
        <is>
          <t>ORD-1626</t>
        </is>
      </c>
      <c r="B627" s="5" t="inlineStr">
        <is>
          <t>09-12-2024</t>
        </is>
      </c>
      <c r="C627" s="5" t="inlineStr">
        <is>
          <t>Dec-2024</t>
        </is>
      </c>
      <c r="D627" s="4" t="inlineStr">
        <is>
          <t>South</t>
        </is>
      </c>
      <c r="E627" s="4" t="inlineStr">
        <is>
          <t>Chennai</t>
        </is>
      </c>
      <c r="F627" s="5" t="inlineStr">
        <is>
          <t>Amit Kumar</t>
        </is>
      </c>
      <c r="G627" s="5" t="inlineStr">
        <is>
          <t>Electronics</t>
        </is>
      </c>
      <c r="H627" s="4" t="inlineStr">
        <is>
          <t>Laptop</t>
        </is>
      </c>
      <c r="I627" s="4" t="n">
        <v>1</v>
      </c>
      <c r="J627" s="5" t="n">
        <v>1265.93</v>
      </c>
      <c r="K627" s="5" t="n">
        <v>1265.93</v>
      </c>
      <c r="L627" s="5" t="n">
        <v>759.5599999999999</v>
      </c>
      <c r="M627" s="4" t="n">
        <v>506.37</v>
      </c>
      <c r="N627" s="4" t="inlineStr">
        <is>
          <t>Existing</t>
        </is>
      </c>
      <c r="O627" s="4" t="inlineStr">
        <is>
          <t>Online</t>
        </is>
      </c>
      <c r="P627" s="5" t="n">
        <v>1137.03</v>
      </c>
      <c r="Q627" s="5" t="n">
        <v>111.34</v>
      </c>
      <c r="R627" s="5" t="inlineStr"/>
    </row>
    <row r="628">
      <c r="A628" s="2" t="inlineStr">
        <is>
          <t>ORD-1627</t>
        </is>
      </c>
      <c r="B628" s="3" t="inlineStr">
        <is>
          <t>10-12-2024</t>
        </is>
      </c>
      <c r="C628" s="3" t="inlineStr">
        <is>
          <t>Dec-2024</t>
        </is>
      </c>
      <c r="D628" s="2" t="inlineStr">
        <is>
          <t>North</t>
        </is>
      </c>
      <c r="E628" s="2" t="inlineStr">
        <is>
          <t>Chandigarh</t>
        </is>
      </c>
      <c r="F628" s="3" t="inlineStr">
        <is>
          <t>Priya Patel</t>
        </is>
      </c>
      <c r="G628" s="3" t="inlineStr">
        <is>
          <t>Apparel</t>
        </is>
      </c>
      <c r="H628" s="2" t="inlineStr">
        <is>
          <t>Jacket</t>
        </is>
      </c>
      <c r="I628" s="2" t="n">
        <v>3</v>
      </c>
      <c r="J628" s="3" t="n">
        <v>115.24</v>
      </c>
      <c r="K628" s="3" t="n">
        <v>345.72</v>
      </c>
      <c r="L628" s="3" t="n">
        <v>155.57</v>
      </c>
      <c r="M628" s="2" t="n">
        <v>190.15</v>
      </c>
      <c r="N628" s="2" t="inlineStr">
        <is>
          <t>New</t>
        </is>
      </c>
      <c r="O628" s="2" t="inlineStr">
        <is>
          <t>Online</t>
        </is>
      </c>
      <c r="P628" s="3" t="n">
        <v>411.82</v>
      </c>
      <c r="Q628" s="3" t="n">
        <v>83.95</v>
      </c>
      <c r="R628" s="3" t="inlineStr"/>
    </row>
    <row r="629">
      <c r="A629" s="4" t="inlineStr">
        <is>
          <t>ORD-1628</t>
        </is>
      </c>
      <c r="B629" s="5" t="inlineStr">
        <is>
          <t>11-12-2024</t>
        </is>
      </c>
      <c r="C629" s="5" t="inlineStr">
        <is>
          <t>Dec-2024</t>
        </is>
      </c>
      <c r="D629" s="4" t="inlineStr">
        <is>
          <t>South</t>
        </is>
      </c>
      <c r="E629" s="4" t="inlineStr">
        <is>
          <t>Hyderabad</t>
        </is>
      </c>
      <c r="F629" s="5" t="inlineStr">
        <is>
          <t>Sneha Reddy</t>
        </is>
      </c>
      <c r="G629" s="5" t="inlineStr">
        <is>
          <t>Furniture</t>
        </is>
      </c>
      <c r="H629" s="4" t="inlineStr">
        <is>
          <t>Bookshelf</t>
        </is>
      </c>
      <c r="I629" s="4" t="n">
        <v>1</v>
      </c>
      <c r="J629" s="5" t="n">
        <v>183.63</v>
      </c>
      <c r="K629" s="5" t="n">
        <v>183.63</v>
      </c>
      <c r="L629" s="5" t="n">
        <v>101</v>
      </c>
      <c r="M629" s="4" t="n">
        <v>82.63</v>
      </c>
      <c r="N629" s="4" t="inlineStr">
        <is>
          <t>Existing</t>
        </is>
      </c>
      <c r="O629" s="4" t="inlineStr">
        <is>
          <t>Offline</t>
        </is>
      </c>
      <c r="P629" s="5" t="n">
        <v>179.24</v>
      </c>
      <c r="Q629" s="5" t="n">
        <v>102.45</v>
      </c>
      <c r="R629" s="5" t="inlineStr"/>
    </row>
    <row r="630">
      <c r="A630" s="2" t="inlineStr">
        <is>
          <t>ORD-1629</t>
        </is>
      </c>
      <c r="B630" s="3" t="inlineStr">
        <is>
          <t>11-12-2024</t>
        </is>
      </c>
      <c r="C630" s="3" t="inlineStr">
        <is>
          <t>Dec-2024</t>
        </is>
      </c>
      <c r="D630" s="2" t="inlineStr">
        <is>
          <t>South</t>
        </is>
      </c>
      <c r="E630" s="2" t="inlineStr">
        <is>
          <t>Hyderabad</t>
        </is>
      </c>
      <c r="F630" s="3" t="inlineStr">
        <is>
          <t>Kavita Rao</t>
        </is>
      </c>
      <c r="G630" s="3" t="inlineStr">
        <is>
          <t>Electronics</t>
        </is>
      </c>
      <c r="H630" s="2" t="inlineStr">
        <is>
          <t>Laptop</t>
        </is>
      </c>
      <c r="I630" s="2" t="n">
        <v>19</v>
      </c>
      <c r="J630" s="3" t="n">
        <v>1263.18</v>
      </c>
      <c r="K630" s="3" t="n">
        <v>24000.42</v>
      </c>
      <c r="L630" s="3" t="n">
        <v>14400.25</v>
      </c>
      <c r="M630" s="2" t="n">
        <v>9600.17</v>
      </c>
      <c r="N630" s="2" t="inlineStr">
        <is>
          <t>New</t>
        </is>
      </c>
      <c r="O630" s="2" t="inlineStr">
        <is>
          <t>Online</t>
        </is>
      </c>
      <c r="P630" s="3" t="n">
        <v>30771.7</v>
      </c>
      <c r="Q630" s="3" t="n">
        <v>78</v>
      </c>
      <c r="R630" s="3" t="inlineStr"/>
    </row>
    <row r="631">
      <c r="A631" s="4" t="inlineStr">
        <is>
          <t>ORD-1630</t>
        </is>
      </c>
      <c r="B631" s="5" t="inlineStr">
        <is>
          <t>11-12-2024</t>
        </is>
      </c>
      <c r="C631" s="5" t="inlineStr">
        <is>
          <t>Dec-2024</t>
        </is>
      </c>
      <c r="D631" s="4" t="inlineStr">
        <is>
          <t>South</t>
        </is>
      </c>
      <c r="E631" s="4" t="inlineStr">
        <is>
          <t>Hyderabad</t>
        </is>
      </c>
      <c r="F631" s="5" t="inlineStr">
        <is>
          <t>Rahul Sharma</t>
        </is>
      </c>
      <c r="G631" s="5" t="inlineStr">
        <is>
          <t>Electronics</t>
        </is>
      </c>
      <c r="H631" s="4" t="inlineStr">
        <is>
          <t>Smartphone</t>
        </is>
      </c>
      <c r="I631" s="4" t="n">
        <v>17</v>
      </c>
      <c r="J631" s="5" t="n">
        <v>856.21</v>
      </c>
      <c r="K631" s="5" t="n">
        <v>14555.57</v>
      </c>
      <c r="L631" s="5" t="n">
        <v>8733.34</v>
      </c>
      <c r="M631" s="4" t="n">
        <v>5822.23</v>
      </c>
      <c r="N631" s="4" t="inlineStr">
        <is>
          <t>Existing</t>
        </is>
      </c>
      <c r="O631" s="4" t="inlineStr">
        <is>
          <t>Offline</t>
        </is>
      </c>
      <c r="P631" s="5" t="n">
        <v>16725.32</v>
      </c>
      <c r="Q631" s="5" t="n">
        <v>87.03</v>
      </c>
      <c r="R631" s="5" t="inlineStr"/>
    </row>
    <row r="632">
      <c r="A632" s="2" t="inlineStr">
        <is>
          <t>ORD-1631</t>
        </is>
      </c>
      <c r="B632" s="3" t="inlineStr">
        <is>
          <t>12-12-2024</t>
        </is>
      </c>
      <c r="C632" s="3" t="inlineStr">
        <is>
          <t>Dec-2024</t>
        </is>
      </c>
      <c r="D632" s="2" t="inlineStr">
        <is>
          <t>West</t>
        </is>
      </c>
      <c r="E632" s="2" t="inlineStr">
        <is>
          <t>Pune</t>
        </is>
      </c>
      <c r="F632" s="3" t="inlineStr">
        <is>
          <t>Priya Patel</t>
        </is>
      </c>
      <c r="G632" s="3" t="inlineStr">
        <is>
          <t>Furniture</t>
        </is>
      </c>
      <c r="H632" s="2" t="inlineStr">
        <is>
          <t>Bookshelf</t>
        </is>
      </c>
      <c r="I632" s="2" t="n">
        <v>13</v>
      </c>
      <c r="J632" s="3" t="n">
        <v>196.96</v>
      </c>
      <c r="K632" s="3" t="n">
        <v>2560.48</v>
      </c>
      <c r="L632" s="3" t="n">
        <v>1408.26</v>
      </c>
      <c r="M632" s="2" t="n">
        <v>1152.22</v>
      </c>
      <c r="N632" s="2" t="inlineStr">
        <is>
          <t>New</t>
        </is>
      </c>
      <c r="O632" s="2" t="inlineStr">
        <is>
          <t>Offline</t>
        </is>
      </c>
      <c r="P632" s="3" t="n">
        <v>2192.85</v>
      </c>
      <c r="Q632" s="3" t="n">
        <v>116.76</v>
      </c>
      <c r="R632" s="3" t="inlineStr"/>
    </row>
    <row r="633">
      <c r="A633" s="4" t="inlineStr">
        <is>
          <t>ORD-1632</t>
        </is>
      </c>
      <c r="B633" s="5" t="inlineStr">
        <is>
          <t>13-12-2024</t>
        </is>
      </c>
      <c r="C633" s="5" t="inlineStr">
        <is>
          <t>Dec-2024</t>
        </is>
      </c>
      <c r="D633" s="4" t="inlineStr">
        <is>
          <t>North</t>
        </is>
      </c>
      <c r="E633" s="4" t="inlineStr">
        <is>
          <t>Chandigarh</t>
        </is>
      </c>
      <c r="F633" s="5" t="inlineStr">
        <is>
          <t>Priya Patel</t>
        </is>
      </c>
      <c r="G633" s="5" t="inlineStr">
        <is>
          <t>Furniture</t>
        </is>
      </c>
      <c r="H633" s="4" t="inlineStr">
        <is>
          <t>Cabinet</t>
        </is>
      </c>
      <c r="I633" s="4" t="n">
        <v>12</v>
      </c>
      <c r="J633" s="5" t="n">
        <v>312.28</v>
      </c>
      <c r="K633" s="5" t="n">
        <v>3747.36</v>
      </c>
      <c r="L633" s="5" t="n">
        <v>2061.05</v>
      </c>
      <c r="M633" s="4" t="n">
        <v>1686.31</v>
      </c>
      <c r="N633" s="4" t="inlineStr">
        <is>
          <t>New</t>
        </is>
      </c>
      <c r="O633" s="4" t="inlineStr">
        <is>
          <t>Online</t>
        </is>
      </c>
      <c r="P633" s="5" t="n">
        <v>3612.67</v>
      </c>
      <c r="Q633" s="5" t="n">
        <v>103.73</v>
      </c>
      <c r="R633" s="5" t="inlineStr"/>
    </row>
    <row r="634">
      <c r="A634" s="2" t="inlineStr">
        <is>
          <t>ORD-1633</t>
        </is>
      </c>
      <c r="B634" s="3" t="inlineStr">
        <is>
          <t>13-12-2024</t>
        </is>
      </c>
      <c r="C634" s="3" t="inlineStr">
        <is>
          <t>Dec-2024</t>
        </is>
      </c>
      <c r="D634" s="2" t="inlineStr">
        <is>
          <t>North</t>
        </is>
      </c>
      <c r="E634" s="2" t="inlineStr">
        <is>
          <t>Chandigarh</t>
        </is>
      </c>
      <c r="F634" s="3" t="inlineStr">
        <is>
          <t>Vikram Singh</t>
        </is>
      </c>
      <c r="G634" s="3" t="inlineStr">
        <is>
          <t>Software</t>
        </is>
      </c>
      <c r="H634" s="2" t="inlineStr">
        <is>
          <t>Analytics Pro</t>
        </is>
      </c>
      <c r="I634" s="2" t="n">
        <v>15</v>
      </c>
      <c r="J634" s="3" t="n">
        <v>2362.94</v>
      </c>
      <c r="K634" s="3" t="n">
        <v>35444.1</v>
      </c>
      <c r="L634" s="3" t="n">
        <v>10633.23</v>
      </c>
      <c r="M634" s="2" t="n">
        <v>24810.87</v>
      </c>
      <c r="N634" s="2" t="inlineStr">
        <is>
          <t>Existing</t>
        </is>
      </c>
      <c r="O634" s="2" t="inlineStr">
        <is>
          <t>Offline</t>
        </is>
      </c>
      <c r="P634" s="3" t="n">
        <v>45810.83</v>
      </c>
      <c r="Q634" s="3" t="n">
        <v>77.37</v>
      </c>
      <c r="R634" s="3" t="inlineStr"/>
    </row>
    <row r="635">
      <c r="A635" s="4" t="inlineStr">
        <is>
          <t>ORD-1634</t>
        </is>
      </c>
      <c r="B635" s="5" t="inlineStr">
        <is>
          <t>14-12-2024</t>
        </is>
      </c>
      <c r="C635" s="5" t="inlineStr">
        <is>
          <t>Dec-2024</t>
        </is>
      </c>
      <c r="D635" s="4" t="inlineStr">
        <is>
          <t>South</t>
        </is>
      </c>
      <c r="E635" s="4" t="inlineStr">
        <is>
          <t>Chennai</t>
        </is>
      </c>
      <c r="F635" s="5" t="inlineStr">
        <is>
          <t>Pooja Joshi</t>
        </is>
      </c>
      <c r="G635" s="5" t="inlineStr">
        <is>
          <t>Apparel</t>
        </is>
      </c>
      <c r="H635" s="4" t="inlineStr">
        <is>
          <t>Formal Shirt</t>
        </is>
      </c>
      <c r="I635" s="4" t="n">
        <v>1</v>
      </c>
      <c r="J635" s="5" t="n">
        <v>87.98</v>
      </c>
      <c r="K635" s="5" t="n">
        <v>87.98</v>
      </c>
      <c r="L635" s="5" t="n">
        <v>39.59</v>
      </c>
      <c r="M635" s="4" t="n">
        <v>48.39</v>
      </c>
      <c r="N635" s="4" t="inlineStr">
        <is>
          <t>Existing</t>
        </is>
      </c>
      <c r="O635" s="4" t="inlineStr">
        <is>
          <t>Online</t>
        </is>
      </c>
      <c r="P635" s="5" t="n">
        <v>87.81999999999999</v>
      </c>
      <c r="Q635" s="5" t="n">
        <v>100.18</v>
      </c>
      <c r="R635" s="5" t="inlineStr"/>
    </row>
    <row r="636">
      <c r="A636" s="2" t="inlineStr">
        <is>
          <t>ORD-1635</t>
        </is>
      </c>
      <c r="B636" s="3" t="inlineStr">
        <is>
          <t>14-12-2024</t>
        </is>
      </c>
      <c r="C636" s="3" t="inlineStr">
        <is>
          <t>Dec-2024</t>
        </is>
      </c>
      <c r="D636" s="2" t="inlineStr">
        <is>
          <t>North</t>
        </is>
      </c>
      <c r="E636" s="2" t="inlineStr">
        <is>
          <t>Delhi</t>
        </is>
      </c>
      <c r="F636" s="3" t="inlineStr">
        <is>
          <t>Arjun Mehta</t>
        </is>
      </c>
      <c r="G636" s="3" t="inlineStr">
        <is>
          <t>Software</t>
        </is>
      </c>
      <c r="H636" s="2" t="inlineStr">
        <is>
          <t>HR System</t>
        </is>
      </c>
      <c r="I636" s="2" t="n">
        <v>19</v>
      </c>
      <c r="J636" s="3" t="n">
        <v>2191.03</v>
      </c>
      <c r="K636" s="3" t="n">
        <v>41629.57</v>
      </c>
      <c r="L636" s="3" t="n">
        <v>12488.87</v>
      </c>
      <c r="M636" s="2" t="n">
        <v>29140.7</v>
      </c>
      <c r="N636" s="2" t="inlineStr">
        <is>
          <t>New</t>
        </is>
      </c>
      <c r="O636" s="2" t="inlineStr">
        <is>
          <t>Online</t>
        </is>
      </c>
      <c r="P636" s="3" t="n">
        <v>40874.2</v>
      </c>
      <c r="Q636" s="3" t="n">
        <v>101.85</v>
      </c>
      <c r="R636" s="3" t="inlineStr"/>
    </row>
    <row r="637">
      <c r="A637" s="4" t="inlineStr">
        <is>
          <t>ORD-1636</t>
        </is>
      </c>
      <c r="B637" s="5" t="inlineStr">
        <is>
          <t>16-12-2024</t>
        </is>
      </c>
      <c r="C637" s="5" t="inlineStr">
        <is>
          <t>Dec-2024</t>
        </is>
      </c>
      <c r="D637" s="4" t="inlineStr">
        <is>
          <t>South</t>
        </is>
      </c>
      <c r="E637" s="4" t="inlineStr">
        <is>
          <t>Hyderabad</t>
        </is>
      </c>
      <c r="F637" s="5" t="inlineStr">
        <is>
          <t>Amit Kumar</t>
        </is>
      </c>
      <c r="G637" s="5" t="inlineStr">
        <is>
          <t>Electronics</t>
        </is>
      </c>
      <c r="H637" s="4" t="inlineStr">
        <is>
          <t>Smartphone</t>
        </is>
      </c>
      <c r="I637" s="4" t="n">
        <v>14</v>
      </c>
      <c r="J637" s="5" t="n">
        <v>836.03</v>
      </c>
      <c r="K637" s="5" t="n">
        <v>11704.42</v>
      </c>
      <c r="L637" s="5" t="n">
        <v>7022.65</v>
      </c>
      <c r="M637" s="4" t="n">
        <v>4681.77</v>
      </c>
      <c r="N637" s="4" t="inlineStr">
        <is>
          <t>Existing</t>
        </is>
      </c>
      <c r="O637" s="4" t="inlineStr">
        <is>
          <t>Offline</t>
        </is>
      </c>
      <c r="P637" s="5" t="n">
        <v>13789.58</v>
      </c>
      <c r="Q637" s="5" t="n">
        <v>84.88</v>
      </c>
      <c r="R637" s="5" t="inlineStr"/>
    </row>
    <row r="638">
      <c r="A638" s="2" t="inlineStr">
        <is>
          <t>ORD-1637</t>
        </is>
      </c>
      <c r="B638" s="3" t="inlineStr">
        <is>
          <t>16-12-2024</t>
        </is>
      </c>
      <c r="C638" s="3" t="inlineStr">
        <is>
          <t>Dec-2024</t>
        </is>
      </c>
      <c r="D638" s="2" t="inlineStr">
        <is>
          <t>West</t>
        </is>
      </c>
      <c r="E638" s="2" t="inlineStr">
        <is>
          <t>Ahmedabad</t>
        </is>
      </c>
      <c r="F638" s="3" t="inlineStr">
        <is>
          <t>Pooja Joshi</t>
        </is>
      </c>
      <c r="G638" s="3" t="inlineStr">
        <is>
          <t>Software</t>
        </is>
      </c>
      <c r="H638" s="2" t="inlineStr">
        <is>
          <t>HR System</t>
        </is>
      </c>
      <c r="I638" s="2" t="n">
        <v>17</v>
      </c>
      <c r="J638" s="3" t="n">
        <v>1911.56</v>
      </c>
      <c r="K638" s="3" t="n">
        <v>32496.52</v>
      </c>
      <c r="L638" s="3" t="n">
        <v>9748.959999999999</v>
      </c>
      <c r="M638" s="2" t="n">
        <v>22747.56</v>
      </c>
      <c r="N638" s="2" t="inlineStr">
        <is>
          <t>Existing</t>
        </is>
      </c>
      <c r="O638" s="2" t="inlineStr">
        <is>
          <t>Online</t>
        </is>
      </c>
      <c r="P638" s="3" t="n">
        <v>27982.59</v>
      </c>
      <c r="Q638" s="3" t="n">
        <v>116.13</v>
      </c>
      <c r="R638" s="3" t="inlineStr"/>
    </row>
    <row r="639">
      <c r="A639" s="4" t="inlineStr">
        <is>
          <t>ORD-1638</t>
        </is>
      </c>
      <c r="B639" s="5" t="inlineStr">
        <is>
          <t>17-12-2024</t>
        </is>
      </c>
      <c r="C639" s="5" t="inlineStr">
        <is>
          <t>Dec-2024</t>
        </is>
      </c>
      <c r="D639" s="4" t="inlineStr">
        <is>
          <t>West</t>
        </is>
      </c>
      <c r="E639" s="4" t="inlineStr">
        <is>
          <t>Mumbai</t>
        </is>
      </c>
      <c r="F639" s="5" t="inlineStr">
        <is>
          <t>Arjun Mehta</t>
        </is>
      </c>
      <c r="G639" s="5" t="inlineStr">
        <is>
          <t>Electronics</t>
        </is>
      </c>
      <c r="H639" s="4" t="inlineStr">
        <is>
          <t>Laptop</t>
        </is>
      </c>
      <c r="I639" s="4" t="n">
        <v>2</v>
      </c>
      <c r="J639" s="5" t="n">
        <v>1279.27</v>
      </c>
      <c r="K639" s="5" t="n">
        <v>2558.54</v>
      </c>
      <c r="L639" s="5" t="n">
        <v>1535.12</v>
      </c>
      <c r="M639" s="4" t="n">
        <v>1023.42</v>
      </c>
      <c r="N639" s="4" t="inlineStr">
        <is>
          <t>Existing</t>
        </is>
      </c>
      <c r="O639" s="4" t="inlineStr">
        <is>
          <t>Online</t>
        </is>
      </c>
      <c r="P639" s="5" t="n">
        <v>3290.38</v>
      </c>
      <c r="Q639" s="5" t="n">
        <v>77.76000000000001</v>
      </c>
      <c r="R639" s="5" t="inlineStr"/>
    </row>
    <row r="640">
      <c r="A640" s="2" t="inlineStr">
        <is>
          <t>ORD-1639</t>
        </is>
      </c>
      <c r="B640" s="3" t="inlineStr">
        <is>
          <t>17-12-2024</t>
        </is>
      </c>
      <c r="C640" s="3" t="inlineStr">
        <is>
          <t>Dec-2024</t>
        </is>
      </c>
      <c r="D640" s="2" t="inlineStr">
        <is>
          <t>West</t>
        </is>
      </c>
      <c r="E640" s="2" t="inlineStr">
        <is>
          <t>Pune</t>
        </is>
      </c>
      <c r="F640" s="3" t="inlineStr">
        <is>
          <t>Deepa Nair</t>
        </is>
      </c>
      <c r="G640" s="3" t="inlineStr">
        <is>
          <t>Furniture</t>
        </is>
      </c>
      <c r="H640" s="2" t="inlineStr">
        <is>
          <t>Bookshelf</t>
        </is>
      </c>
      <c r="I640" s="2" t="n">
        <v>20</v>
      </c>
      <c r="J640" s="3" t="n">
        <v>204.93</v>
      </c>
      <c r="K640" s="3" t="n">
        <v>4098.6</v>
      </c>
      <c r="L640" s="3" t="n">
        <v>2254.23</v>
      </c>
      <c r="M640" s="2" t="n">
        <v>1844.37</v>
      </c>
      <c r="N640" s="2" t="inlineStr">
        <is>
          <t>New</t>
        </is>
      </c>
      <c r="O640" s="2" t="inlineStr">
        <is>
          <t>Offline</t>
        </is>
      </c>
      <c r="P640" s="3" t="n">
        <v>4903.42</v>
      </c>
      <c r="Q640" s="3" t="n">
        <v>83.59</v>
      </c>
      <c r="R640" s="3" t="inlineStr"/>
    </row>
    <row r="641">
      <c r="A641" s="4" t="inlineStr">
        <is>
          <t>ORD-1640</t>
        </is>
      </c>
      <c r="B641" s="5" t="inlineStr">
        <is>
          <t>18-12-2024</t>
        </is>
      </c>
      <c r="C641" s="5" t="inlineStr">
        <is>
          <t>Dec-2024</t>
        </is>
      </c>
      <c r="D641" s="4" t="inlineStr">
        <is>
          <t>East</t>
        </is>
      </c>
      <c r="E641" s="4" t="inlineStr">
        <is>
          <t>Patna</t>
        </is>
      </c>
      <c r="F641" s="5" t="inlineStr">
        <is>
          <t>Pooja Joshi</t>
        </is>
      </c>
      <c r="G641" s="5" t="inlineStr">
        <is>
          <t>Software</t>
        </is>
      </c>
      <c r="H641" s="4" t="inlineStr">
        <is>
          <t>Analytics Pro</t>
        </is>
      </c>
      <c r="I641" s="4" t="n">
        <v>18</v>
      </c>
      <c r="J641" s="5" t="n">
        <v>2421.81</v>
      </c>
      <c r="K641" s="5" t="n">
        <v>43592.58</v>
      </c>
      <c r="L641" s="5" t="n">
        <v>13077.77</v>
      </c>
      <c r="M641" s="4" t="n">
        <v>30514.81</v>
      </c>
      <c r="N641" s="4" t="inlineStr">
        <is>
          <t>New</t>
        </is>
      </c>
      <c r="O641" s="4" t="inlineStr">
        <is>
          <t>Online</t>
        </is>
      </c>
      <c r="P641" s="5" t="n">
        <v>56467.9</v>
      </c>
      <c r="Q641" s="5" t="n">
        <v>77.2</v>
      </c>
      <c r="R641" s="5" t="inlineStr"/>
    </row>
    <row r="642">
      <c r="A642" s="2" t="inlineStr">
        <is>
          <t>ORD-1641</t>
        </is>
      </c>
      <c r="B642" s="3" t="inlineStr">
        <is>
          <t>19-12-2024</t>
        </is>
      </c>
      <c r="C642" s="3" t="inlineStr">
        <is>
          <t>Dec-2024</t>
        </is>
      </c>
      <c r="D642" s="2" t="inlineStr">
        <is>
          <t>West</t>
        </is>
      </c>
      <c r="E642" s="2" t="inlineStr">
        <is>
          <t>Ahmedabad</t>
        </is>
      </c>
      <c r="F642" s="3" t="inlineStr">
        <is>
          <t>Deepa Nair</t>
        </is>
      </c>
      <c r="G642" s="3" t="inlineStr">
        <is>
          <t>Software</t>
        </is>
      </c>
      <c r="H642" s="2" t="inlineStr">
        <is>
          <t>HR System</t>
        </is>
      </c>
      <c r="I642" s="2" t="n">
        <v>15</v>
      </c>
      <c r="J642" s="3" t="n">
        <v>1814.39</v>
      </c>
      <c r="K642" s="3" t="n">
        <v>27215.85</v>
      </c>
      <c r="L642" s="3" t="n">
        <v>8164.75</v>
      </c>
      <c r="M642" s="2" t="n">
        <v>19051.1</v>
      </c>
      <c r="N642" s="2" t="inlineStr">
        <is>
          <t>New</t>
        </is>
      </c>
      <c r="O642" s="2" t="inlineStr">
        <is>
          <t>Offline</t>
        </is>
      </c>
      <c r="P642" s="3" t="n">
        <v>33811.61</v>
      </c>
      <c r="Q642" s="3" t="n">
        <v>80.48999999999999</v>
      </c>
      <c r="R642" s="3" t="inlineStr"/>
    </row>
    <row r="643">
      <c r="A643" s="4" t="inlineStr">
        <is>
          <t>ORD-1642</t>
        </is>
      </c>
      <c r="B643" s="5" t="inlineStr">
        <is>
          <t>20-12-2024</t>
        </is>
      </c>
      <c r="C643" s="5" t="inlineStr">
        <is>
          <t>Dec-2024</t>
        </is>
      </c>
      <c r="D643" s="4" t="inlineStr">
        <is>
          <t>West</t>
        </is>
      </c>
      <c r="E643" s="4" t="inlineStr">
        <is>
          <t>Ahmedabad</t>
        </is>
      </c>
      <c r="F643" s="5" t="inlineStr">
        <is>
          <t>Arjun Mehta</t>
        </is>
      </c>
      <c r="G643" s="5" t="inlineStr">
        <is>
          <t>Apparel</t>
        </is>
      </c>
      <c r="H643" s="4" t="inlineStr">
        <is>
          <t>Trousers</t>
        </is>
      </c>
      <c r="I643" s="4" t="n">
        <v>16</v>
      </c>
      <c r="J643" s="5" t="n">
        <v>73.7</v>
      </c>
      <c r="K643" s="5" t="n">
        <v>1179.2</v>
      </c>
      <c r="L643" s="5" t="n">
        <v>530.64</v>
      </c>
      <c r="M643" s="4" t="n">
        <v>648.5599999999999</v>
      </c>
      <c r="N643" s="4" t="inlineStr">
        <is>
          <t>Existing</t>
        </is>
      </c>
      <c r="O643" s="4" t="inlineStr">
        <is>
          <t>Offline</t>
        </is>
      </c>
      <c r="P643" s="5" t="n">
        <v>1223.96</v>
      </c>
      <c r="Q643" s="5" t="n">
        <v>96.34</v>
      </c>
      <c r="R643" s="5" t="inlineStr"/>
    </row>
    <row r="644">
      <c r="A644" s="2" t="inlineStr">
        <is>
          <t>ORD-1643</t>
        </is>
      </c>
      <c r="B644" s="3" t="inlineStr">
        <is>
          <t>21-12-2024</t>
        </is>
      </c>
      <c r="C644" s="3" t="inlineStr">
        <is>
          <t>Dec-2024</t>
        </is>
      </c>
      <c r="D644" s="2" t="inlineStr">
        <is>
          <t>North</t>
        </is>
      </c>
      <c r="E644" s="2" t="inlineStr">
        <is>
          <t>Chandigarh</t>
        </is>
      </c>
      <c r="F644" s="3" t="inlineStr">
        <is>
          <t>Vikram Singh</t>
        </is>
      </c>
      <c r="G644" s="3" t="inlineStr">
        <is>
          <t>Software</t>
        </is>
      </c>
      <c r="H644" s="2" t="inlineStr">
        <is>
          <t>HR System</t>
        </is>
      </c>
      <c r="I644" s="2" t="n">
        <v>20</v>
      </c>
      <c r="J644" s="3" t="n">
        <v>2070.6</v>
      </c>
      <c r="K644" s="3" t="n">
        <v>41412</v>
      </c>
      <c r="L644" s="3" t="n">
        <v>12423.6</v>
      </c>
      <c r="M644" s="2" t="n">
        <v>28988.4</v>
      </c>
      <c r="N644" s="2" t="inlineStr">
        <is>
          <t>Existing</t>
        </is>
      </c>
      <c r="O644" s="2" t="inlineStr">
        <is>
          <t>Offline</t>
        </is>
      </c>
      <c r="P644" s="3" t="n">
        <v>34401.44</v>
      </c>
      <c r="Q644" s="3" t="n">
        <v>120.38</v>
      </c>
      <c r="R644" s="3" t="inlineStr"/>
    </row>
    <row r="645">
      <c r="A645" s="4" t="inlineStr">
        <is>
          <t>ORD-1644</t>
        </is>
      </c>
      <c r="B645" s="5" t="inlineStr">
        <is>
          <t>23-12-2024</t>
        </is>
      </c>
      <c r="C645" s="5" t="inlineStr">
        <is>
          <t>Dec-2024</t>
        </is>
      </c>
      <c r="D645" s="4" t="inlineStr">
        <is>
          <t>East</t>
        </is>
      </c>
      <c r="E645" s="4" t="inlineStr">
        <is>
          <t>Bhubaneswar</t>
        </is>
      </c>
      <c r="F645" s="5" t="inlineStr">
        <is>
          <t>Kavita Rao</t>
        </is>
      </c>
      <c r="G645" s="5" t="inlineStr">
        <is>
          <t>Electronics</t>
        </is>
      </c>
      <c r="H645" s="4" t="inlineStr">
        <is>
          <t>Tablet</t>
        </is>
      </c>
      <c r="I645" s="4" t="n">
        <v>13</v>
      </c>
      <c r="J645" s="5" t="n">
        <v>551.6799999999999</v>
      </c>
      <c r="K645" s="5" t="n">
        <v>7171.84</v>
      </c>
      <c r="L645" s="5" t="n">
        <v>4303.1</v>
      </c>
      <c r="M645" s="4" t="n">
        <v>2868.74</v>
      </c>
      <c r="N645" s="4" t="inlineStr">
        <is>
          <t>Existing</t>
        </is>
      </c>
      <c r="O645" s="4" t="inlineStr">
        <is>
          <t>Offline</t>
        </is>
      </c>
      <c r="P645" s="5" t="n">
        <v>7214.62</v>
      </c>
      <c r="Q645" s="5" t="n">
        <v>99.41</v>
      </c>
      <c r="R645" s="5" t="inlineStr"/>
    </row>
    <row r="646">
      <c r="A646" s="2" t="inlineStr">
        <is>
          <t>ORD-1645</t>
        </is>
      </c>
      <c r="B646" s="3" t="inlineStr">
        <is>
          <t>24-12-2024</t>
        </is>
      </c>
      <c r="C646" s="3" t="inlineStr">
        <is>
          <t>Dec-2024</t>
        </is>
      </c>
      <c r="D646" s="2" t="inlineStr">
        <is>
          <t>South</t>
        </is>
      </c>
      <c r="E646" s="2" t="inlineStr">
        <is>
          <t>Chennai</t>
        </is>
      </c>
      <c r="F646" s="3" t="inlineStr">
        <is>
          <t>Sneha Reddy</t>
        </is>
      </c>
      <c r="G646" s="3" t="inlineStr">
        <is>
          <t>Apparel</t>
        </is>
      </c>
      <c r="H646" s="2" t="inlineStr">
        <is>
          <t>Jacket</t>
        </is>
      </c>
      <c r="I646" s="2" t="n">
        <v>3</v>
      </c>
      <c r="J646" s="3" t="n">
        <v>128.85</v>
      </c>
      <c r="K646" s="3" t="n">
        <v>386.55</v>
      </c>
      <c r="L646" s="3" t="n">
        <v>173.95</v>
      </c>
      <c r="M646" s="2" t="n">
        <v>212.6</v>
      </c>
      <c r="N646" s="2" t="inlineStr">
        <is>
          <t>New</t>
        </is>
      </c>
      <c r="O646" s="2" t="inlineStr">
        <is>
          <t>Offline</t>
        </is>
      </c>
      <c r="P646" s="3" t="n">
        <v>342.05</v>
      </c>
      <c r="Q646" s="3" t="n">
        <v>113.01</v>
      </c>
      <c r="R646" s="3" t="inlineStr"/>
    </row>
    <row r="647">
      <c r="A647" s="4" t="inlineStr">
        <is>
          <t>ORD-1646</t>
        </is>
      </c>
      <c r="B647" s="5" t="inlineStr">
        <is>
          <t>25-12-2024</t>
        </is>
      </c>
      <c r="C647" s="5" t="inlineStr">
        <is>
          <t>Dec-2024</t>
        </is>
      </c>
      <c r="D647" s="4" t="inlineStr">
        <is>
          <t>East</t>
        </is>
      </c>
      <c r="E647" s="4" t="inlineStr">
        <is>
          <t>Kolkata</t>
        </is>
      </c>
      <c r="F647" s="5" t="inlineStr">
        <is>
          <t>Pooja Joshi</t>
        </is>
      </c>
      <c r="G647" s="5" t="inlineStr">
        <is>
          <t>Software</t>
        </is>
      </c>
      <c r="H647" s="4" t="inlineStr">
        <is>
          <t>HR System</t>
        </is>
      </c>
      <c r="I647" s="4" t="n">
        <v>9</v>
      </c>
      <c r="J647" s="5" t="n">
        <v>1808.16</v>
      </c>
      <c r="K647" s="5" t="n">
        <v>16273.44</v>
      </c>
      <c r="L647" s="5" t="n">
        <v>4882.03</v>
      </c>
      <c r="M647" s="4" t="n">
        <v>11391.41</v>
      </c>
      <c r="N647" s="4" t="inlineStr">
        <is>
          <t>Existing</t>
        </is>
      </c>
      <c r="O647" s="4" t="inlineStr">
        <is>
          <t>Online</t>
        </is>
      </c>
      <c r="P647" s="5" t="n">
        <v>21039.64</v>
      </c>
      <c r="Q647" s="5" t="n">
        <v>77.34999999999999</v>
      </c>
      <c r="R647" s="5" t="inlineStr"/>
    </row>
    <row r="648">
      <c r="A648" s="2" t="inlineStr">
        <is>
          <t>ORD-1647</t>
        </is>
      </c>
      <c r="B648" s="3" t="inlineStr">
        <is>
          <t>25-12-2024</t>
        </is>
      </c>
      <c r="C648" s="3" t="inlineStr">
        <is>
          <t>Dec-2024</t>
        </is>
      </c>
      <c r="D648" s="2" t="inlineStr">
        <is>
          <t>West</t>
        </is>
      </c>
      <c r="E648" s="2" t="inlineStr">
        <is>
          <t>Pune</t>
        </is>
      </c>
      <c r="F648" s="3" t="inlineStr">
        <is>
          <t>Amit Kumar</t>
        </is>
      </c>
      <c r="G648" s="3" t="inlineStr">
        <is>
          <t>Apparel</t>
        </is>
      </c>
      <c r="H648" s="2" t="inlineStr">
        <is>
          <t>Jacket</t>
        </is>
      </c>
      <c r="I648" s="2" t="n">
        <v>16</v>
      </c>
      <c r="J648" s="3" t="n">
        <v>110.4</v>
      </c>
      <c r="K648" s="3" t="n">
        <v>1766.4</v>
      </c>
      <c r="L648" s="3" t="n">
        <v>794.88</v>
      </c>
      <c r="M648" s="2" t="n">
        <v>971.52</v>
      </c>
      <c r="N648" s="2" t="inlineStr">
        <is>
          <t>New</t>
        </is>
      </c>
      <c r="O648" s="2" t="inlineStr">
        <is>
          <t>Offline</t>
        </is>
      </c>
      <c r="P648" s="3" t="n">
        <v>1851.83</v>
      </c>
      <c r="Q648" s="3" t="n">
        <v>95.39</v>
      </c>
      <c r="R648" s="3" t="inlineStr"/>
    </row>
    <row r="649">
      <c r="A649" s="4" t="inlineStr">
        <is>
          <t>ORD-1648</t>
        </is>
      </c>
      <c r="B649" s="5" t="inlineStr">
        <is>
          <t>25-12-2024</t>
        </is>
      </c>
      <c r="C649" s="5" t="inlineStr">
        <is>
          <t>Dec-2024</t>
        </is>
      </c>
      <c r="D649" s="4" t="inlineStr">
        <is>
          <t>East</t>
        </is>
      </c>
      <c r="E649" s="4" t="inlineStr">
        <is>
          <t>Kolkata</t>
        </is>
      </c>
      <c r="F649" s="5" t="inlineStr">
        <is>
          <t>Kavita Rao</t>
        </is>
      </c>
      <c r="G649" s="5" t="inlineStr">
        <is>
          <t>Apparel</t>
        </is>
      </c>
      <c r="H649" s="4" t="inlineStr">
        <is>
          <t>T-Shirt</t>
        </is>
      </c>
      <c r="I649" s="4" t="n">
        <v>14</v>
      </c>
      <c r="J649" s="5" t="n">
        <v>37.61</v>
      </c>
      <c r="K649" s="5" t="n">
        <v>526.54</v>
      </c>
      <c r="L649" s="5" t="n">
        <v>236.94</v>
      </c>
      <c r="M649" s="4" t="n">
        <v>289.6</v>
      </c>
      <c r="N649" s="4" t="inlineStr">
        <is>
          <t>New</t>
        </is>
      </c>
      <c r="O649" s="4" t="inlineStr">
        <is>
          <t>Online</t>
        </is>
      </c>
      <c r="P649" s="5" t="n">
        <v>496.88</v>
      </c>
      <c r="Q649" s="5" t="n">
        <v>105.97</v>
      </c>
      <c r="R649" s="5" t="inlineStr"/>
    </row>
    <row r="650">
      <c r="A650" s="2" t="inlineStr">
        <is>
          <t>ORD-1649</t>
        </is>
      </c>
      <c r="B650" s="3" t="inlineStr">
        <is>
          <t>26-12-2024</t>
        </is>
      </c>
      <c r="C650" s="3" t="inlineStr">
        <is>
          <t>Dec-2024</t>
        </is>
      </c>
      <c r="D650" s="2" t="inlineStr">
        <is>
          <t>East</t>
        </is>
      </c>
      <c r="E650" s="2" t="inlineStr">
        <is>
          <t>Patna</t>
        </is>
      </c>
      <c r="F650" s="3" t="inlineStr">
        <is>
          <t>Amit Kumar</t>
        </is>
      </c>
      <c r="G650" s="3" t="inlineStr">
        <is>
          <t>Furniture</t>
        </is>
      </c>
      <c r="H650" s="2" t="inlineStr">
        <is>
          <t>Office Chair</t>
        </is>
      </c>
      <c r="I650" s="2" t="n">
        <v>19</v>
      </c>
      <c r="J650" s="3" t="n">
        <v>321.63</v>
      </c>
      <c r="K650" s="3" t="n">
        <v>6110.97</v>
      </c>
      <c r="L650" s="3" t="n">
        <v>3361.03</v>
      </c>
      <c r="M650" s="2" t="n">
        <v>2749.94</v>
      </c>
      <c r="N650" s="2" t="inlineStr">
        <is>
          <t>Existing</t>
        </is>
      </c>
      <c r="O650" s="2" t="inlineStr">
        <is>
          <t>Offline</t>
        </is>
      </c>
      <c r="P650" s="3" t="n">
        <v>5094.32</v>
      </c>
      <c r="Q650" s="3" t="n">
        <v>119.96</v>
      </c>
      <c r="R650" s="3" t="inlineStr"/>
    </row>
    <row r="651">
      <c r="A651" s="4" t="inlineStr">
        <is>
          <t>ORD-1650</t>
        </is>
      </c>
      <c r="B651" s="5" t="inlineStr">
        <is>
          <t>27-12-2024</t>
        </is>
      </c>
      <c r="C651" s="5" t="inlineStr">
        <is>
          <t>Dec-2024</t>
        </is>
      </c>
      <c r="D651" s="4" t="inlineStr">
        <is>
          <t>West</t>
        </is>
      </c>
      <c r="E651" s="4" t="inlineStr">
        <is>
          <t>Ahmedabad</t>
        </is>
      </c>
      <c r="F651" s="5" t="inlineStr">
        <is>
          <t>Sneha Reddy</t>
        </is>
      </c>
      <c r="G651" s="5" t="inlineStr">
        <is>
          <t>Apparel</t>
        </is>
      </c>
      <c r="H651" s="4" t="inlineStr">
        <is>
          <t>Jacket</t>
        </is>
      </c>
      <c r="I651" s="4" t="n">
        <v>10</v>
      </c>
      <c r="J651" s="5" t="n">
        <v>120.11</v>
      </c>
      <c r="K651" s="5" t="n">
        <v>1201.1</v>
      </c>
      <c r="L651" s="5" t="n">
        <v>540.5</v>
      </c>
      <c r="M651" s="4" t="n">
        <v>660.6</v>
      </c>
      <c r="N651" s="4" t="inlineStr">
        <is>
          <t>Existing</t>
        </is>
      </c>
      <c r="O651" s="4" t="inlineStr">
        <is>
          <t>Offline</t>
        </is>
      </c>
      <c r="P651" s="5" t="n">
        <v>1359.32</v>
      </c>
      <c r="Q651" s="5" t="n">
        <v>88.36</v>
      </c>
      <c r="R651" s="5" t="inlineStr"/>
    </row>
    <row r="652">
      <c r="A652" s="2" t="inlineStr">
        <is>
          <t>ORD-1651</t>
        </is>
      </c>
      <c r="B652" s="3" t="inlineStr">
        <is>
          <t>27-12-2024</t>
        </is>
      </c>
      <c r="C652" s="3" t="inlineStr">
        <is>
          <t>Dec-2024</t>
        </is>
      </c>
      <c r="D652" s="2" t="inlineStr">
        <is>
          <t>East</t>
        </is>
      </c>
      <c r="E652" s="2" t="inlineStr">
        <is>
          <t>Kolkata</t>
        </is>
      </c>
      <c r="F652" s="3" t="inlineStr">
        <is>
          <t>Amit Kumar</t>
        </is>
      </c>
      <c r="G652" s="3" t="inlineStr">
        <is>
          <t>Software</t>
        </is>
      </c>
      <c r="H652" s="2" t="inlineStr">
        <is>
          <t>Analytics Pro</t>
        </is>
      </c>
      <c r="I652" s="2" t="n">
        <v>20</v>
      </c>
      <c r="J652" s="3" t="n">
        <v>2507.68</v>
      </c>
      <c r="K652" s="3" t="n">
        <v>50153.6</v>
      </c>
      <c r="L652" s="3" t="n">
        <v>15046.08</v>
      </c>
      <c r="M652" s="2" t="n">
        <v>35107.52</v>
      </c>
      <c r="N652" s="2" t="inlineStr">
        <is>
          <t>New</t>
        </is>
      </c>
      <c r="O652" s="2" t="inlineStr">
        <is>
          <t>Online</t>
        </is>
      </c>
      <c r="P652" s="3" t="n">
        <v>55867.2</v>
      </c>
      <c r="Q652" s="3" t="n">
        <v>89.77</v>
      </c>
      <c r="R652" s="3" t="inlineStr"/>
    </row>
    <row r="653">
      <c r="A653" s="4" t="inlineStr">
        <is>
          <t>ORD-1652</t>
        </is>
      </c>
      <c r="B653" s="5" t="inlineStr">
        <is>
          <t>27-12-2024</t>
        </is>
      </c>
      <c r="C653" s="5" t="inlineStr">
        <is>
          <t>Dec-2024</t>
        </is>
      </c>
      <c r="D653" s="4" t="inlineStr">
        <is>
          <t>South</t>
        </is>
      </c>
      <c r="E653" s="4" t="inlineStr">
        <is>
          <t>Hyderabad</t>
        </is>
      </c>
      <c r="F653" s="5" t="inlineStr">
        <is>
          <t>Pooja Joshi</t>
        </is>
      </c>
      <c r="G653" s="5" t="inlineStr">
        <is>
          <t>Furniture</t>
        </is>
      </c>
      <c r="H653" s="4" t="inlineStr">
        <is>
          <t>Cabinet</t>
        </is>
      </c>
      <c r="I653" s="4" t="n">
        <v>9</v>
      </c>
      <c r="J653" s="5" t="n">
        <v>326.23</v>
      </c>
      <c r="K653" s="5" t="n">
        <v>2936.07</v>
      </c>
      <c r="L653" s="5" t="n">
        <v>1614.84</v>
      </c>
      <c r="M653" s="4" t="n">
        <v>1321.23</v>
      </c>
      <c r="N653" s="4" t="inlineStr">
        <is>
          <t>Existing</t>
        </is>
      </c>
      <c r="O653" s="4" t="inlineStr">
        <is>
          <t>Online</t>
        </is>
      </c>
      <c r="P653" s="5" t="n">
        <v>3115.57</v>
      </c>
      <c r="Q653" s="5" t="n">
        <v>94.23999999999999</v>
      </c>
      <c r="R653" s="5" t="inlineStr"/>
    </row>
    <row r="654">
      <c r="A654" s="2" t="inlineStr">
        <is>
          <t>ORD-1653</t>
        </is>
      </c>
      <c r="B654" s="3" t="inlineStr">
        <is>
          <t>28-12-2024</t>
        </is>
      </c>
      <c r="C654" s="3" t="inlineStr">
        <is>
          <t>Dec-2024</t>
        </is>
      </c>
      <c r="D654" s="2" t="inlineStr">
        <is>
          <t>West</t>
        </is>
      </c>
      <c r="E654" s="2" t="inlineStr">
        <is>
          <t>Mumbai</t>
        </is>
      </c>
      <c r="F654" s="3" t="inlineStr">
        <is>
          <t>Sneha Reddy</t>
        </is>
      </c>
      <c r="G654" s="3" t="inlineStr">
        <is>
          <t>Furniture</t>
        </is>
      </c>
      <c r="H654" s="2" t="inlineStr">
        <is>
          <t>Bookshelf</t>
        </is>
      </c>
      <c r="I654" s="2" t="n">
        <v>14</v>
      </c>
      <c r="J654" s="3" t="n">
        <v>196.41</v>
      </c>
      <c r="K654" s="3" t="n">
        <v>2749.74</v>
      </c>
      <c r="L654" s="3" t="n">
        <v>1512.36</v>
      </c>
      <c r="M654" s="2" t="n">
        <v>1237.38</v>
      </c>
      <c r="N654" s="2" t="inlineStr">
        <is>
          <t>New</t>
        </is>
      </c>
      <c r="O654" s="2" t="inlineStr">
        <is>
          <t>Online</t>
        </is>
      </c>
      <c r="P654" s="3" t="n">
        <v>3362.89</v>
      </c>
      <c r="Q654" s="3" t="n">
        <v>81.77</v>
      </c>
      <c r="R654" s="3" t="inlineStr"/>
    </row>
    <row r="655">
      <c r="A655" s="4" t="inlineStr">
        <is>
          <t>ORD-1654</t>
        </is>
      </c>
      <c r="B655" s="5" t="inlineStr">
        <is>
          <t>28-12-2024</t>
        </is>
      </c>
      <c r="C655" s="5" t="inlineStr">
        <is>
          <t>Dec-2024</t>
        </is>
      </c>
      <c r="D655" s="4" t="inlineStr">
        <is>
          <t>East</t>
        </is>
      </c>
      <c r="E655" s="4" t="inlineStr">
        <is>
          <t>Bhubaneswar</t>
        </is>
      </c>
      <c r="F655" s="5" t="inlineStr">
        <is>
          <t>Arjun Mehta</t>
        </is>
      </c>
      <c r="G655" s="5" t="inlineStr">
        <is>
          <t>Apparel</t>
        </is>
      </c>
      <c r="H655" s="4" t="inlineStr">
        <is>
          <t>Formal Shirt</t>
        </is>
      </c>
      <c r="I655" s="4" t="n">
        <v>13</v>
      </c>
      <c r="J655" s="5" t="n">
        <v>75.81999999999999</v>
      </c>
      <c r="K655" s="5" t="n">
        <v>985.66</v>
      </c>
      <c r="L655" s="5" t="n">
        <v>443.55</v>
      </c>
      <c r="M655" s="4" t="n">
        <v>542.11</v>
      </c>
      <c r="N655" s="4" t="inlineStr">
        <is>
          <t>New</t>
        </is>
      </c>
      <c r="O655" s="4" t="inlineStr">
        <is>
          <t>Online</t>
        </is>
      </c>
      <c r="P655" s="5" t="n">
        <v>802.1799999999999</v>
      </c>
      <c r="Q655" s="5" t="n">
        <v>122.87</v>
      </c>
      <c r="R655" s="5" t="inlineStr"/>
    </row>
    <row r="656">
      <c r="A656" s="2" t="inlineStr">
        <is>
          <t>ORD-1655</t>
        </is>
      </c>
      <c r="B656" s="3" t="inlineStr">
        <is>
          <t>29-12-2024</t>
        </is>
      </c>
      <c r="C656" s="3" t="inlineStr">
        <is>
          <t>Dec-2024</t>
        </is>
      </c>
      <c r="D656" s="2" t="inlineStr">
        <is>
          <t>West</t>
        </is>
      </c>
      <c r="E656" s="2" t="inlineStr">
        <is>
          <t>Ahmedabad</t>
        </is>
      </c>
      <c r="F656" s="3" t="inlineStr">
        <is>
          <t>Ravi Verma</t>
        </is>
      </c>
      <c r="G656" s="3" t="inlineStr">
        <is>
          <t>Software</t>
        </is>
      </c>
      <c r="H656" s="2" t="inlineStr">
        <is>
          <t>HR System</t>
        </is>
      </c>
      <c r="I656" s="2" t="n">
        <v>2</v>
      </c>
      <c r="J656" s="3" t="n">
        <v>1880.8</v>
      </c>
      <c r="K656" s="3" t="n">
        <v>3761.6</v>
      </c>
      <c r="L656" s="3" t="n">
        <v>1128.48</v>
      </c>
      <c r="M656" s="2" t="n">
        <v>2633.12</v>
      </c>
      <c r="N656" s="2" t="inlineStr">
        <is>
          <t>Existing</t>
        </is>
      </c>
      <c r="O656" s="2" t="inlineStr">
        <is>
          <t>Online</t>
        </is>
      </c>
      <c r="P656" s="3" t="n">
        <v>3064.09</v>
      </c>
      <c r="Q656" s="3" t="n">
        <v>122.76</v>
      </c>
      <c r="R656" s="3" t="inlineStr"/>
    </row>
    <row r="657">
      <c r="A657" s="4" t="inlineStr">
        <is>
          <t>ORD-1656</t>
        </is>
      </c>
      <c r="B657" s="5" t="inlineStr">
        <is>
          <t>30-12-2024</t>
        </is>
      </c>
      <c r="C657" s="5" t="inlineStr">
        <is>
          <t>Dec-2024</t>
        </is>
      </c>
      <c r="D657" s="4" t="inlineStr">
        <is>
          <t>South</t>
        </is>
      </c>
      <c r="E657" s="4" t="inlineStr">
        <is>
          <t>Hyderabad</t>
        </is>
      </c>
      <c r="F657" s="5" t="inlineStr">
        <is>
          <t>Rahul Sharma</t>
        </is>
      </c>
      <c r="G657" s="5" t="inlineStr">
        <is>
          <t>Software</t>
        </is>
      </c>
      <c r="H657" s="4" t="inlineStr">
        <is>
          <t>ERP Suite</t>
        </is>
      </c>
      <c r="I657" s="4" t="n">
        <v>2</v>
      </c>
      <c r="J657" s="5" t="n">
        <v>5359.58</v>
      </c>
      <c r="K657" s="5" t="n">
        <v>10719.16</v>
      </c>
      <c r="L657" s="5" t="n">
        <v>3215.75</v>
      </c>
      <c r="M657" s="4" t="n">
        <v>7503.41</v>
      </c>
      <c r="N657" s="4" t="inlineStr">
        <is>
          <t>New</t>
        </is>
      </c>
      <c r="O657" s="4" t="inlineStr">
        <is>
          <t>Offline</t>
        </is>
      </c>
      <c r="P657" s="5" t="n">
        <v>11799.65</v>
      </c>
      <c r="Q657" s="5" t="n">
        <v>90.84</v>
      </c>
      <c r="R657" s="5" t="inlineStr"/>
    </row>
    <row r="658">
      <c r="A658" s="2" t="inlineStr">
        <is>
          <t>ORD-1657</t>
        </is>
      </c>
      <c r="B658" s="3" t="inlineStr">
        <is>
          <t>30-12-2024</t>
        </is>
      </c>
      <c r="C658" s="3" t="inlineStr">
        <is>
          <t>Dec-2024</t>
        </is>
      </c>
      <c r="D658" s="2" t="inlineStr">
        <is>
          <t>North</t>
        </is>
      </c>
      <c r="E658" s="2" t="inlineStr">
        <is>
          <t>Chandigarh</t>
        </is>
      </c>
      <c r="F658" s="3" t="inlineStr">
        <is>
          <t>Deepa Nair</t>
        </is>
      </c>
      <c r="G658" s="3" t="inlineStr">
        <is>
          <t>Electronics</t>
        </is>
      </c>
      <c r="H658" s="2" t="inlineStr">
        <is>
          <t>Smartwatch</t>
        </is>
      </c>
      <c r="I658" s="2" t="n">
        <v>5</v>
      </c>
      <c r="J658" s="3" t="n">
        <v>284.16</v>
      </c>
      <c r="K658" s="3" t="n">
        <v>1420.8</v>
      </c>
      <c r="L658" s="3" t="n">
        <v>852.48</v>
      </c>
      <c r="M658" s="2" t="n">
        <v>568.3200000000001</v>
      </c>
      <c r="N658" s="2" t="inlineStr">
        <is>
          <t>New</t>
        </is>
      </c>
      <c r="O658" s="2" t="inlineStr">
        <is>
          <t>Offline</t>
        </is>
      </c>
      <c r="P658" s="3" t="n">
        <v>1489.32</v>
      </c>
      <c r="Q658" s="3" t="n">
        <v>95.40000000000001</v>
      </c>
      <c r="R658" s="3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7C10"/>
    <outlinePr summaryBelow="1" summaryRight="1"/>
    <pageSetUpPr/>
  </sheetPr>
  <dimension ref="A1:R65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  <col width="14" customWidth="1" min="12" max="12"/>
    <col width="14" customWidth="1" min="13" max="13"/>
    <col width="13" customWidth="1" min="14" max="14"/>
    <col width="13" customWidth="1" min="15" max="15"/>
    <col width="16" customWidth="1" min="16" max="16"/>
    <col width="13" customWidth="1" min="17" max="17"/>
    <col width="14" customWidth="1" min="18" max="18"/>
  </cols>
  <sheetData>
    <row r="1" ht="32" customHeight="1">
      <c r="A1" s="6" t="inlineStr">
        <is>
          <t>Order ID</t>
        </is>
      </c>
      <c r="B1" s="6" t="inlineStr">
        <is>
          <t>Date</t>
        </is>
      </c>
      <c r="C1" s="6" t="inlineStr">
        <is>
          <t>Month</t>
        </is>
      </c>
      <c r="D1" s="6" t="inlineStr">
        <is>
          <t>Region</t>
        </is>
      </c>
      <c r="E1" s="6" t="inlineStr">
        <is>
          <t>City</t>
        </is>
      </c>
      <c r="F1" s="6" t="inlineStr">
        <is>
          <t>Sales Executive</t>
        </is>
      </c>
      <c r="G1" s="6" t="inlineStr">
        <is>
          <t>Product Category</t>
        </is>
      </c>
      <c r="H1" s="6" t="inlineStr">
        <is>
          <t>Product Name</t>
        </is>
      </c>
      <c r="I1" s="6" t="inlineStr">
        <is>
          <t>Units Sold</t>
        </is>
      </c>
      <c r="J1" s="6" t="inlineStr">
        <is>
          <t>Selling Price (₹)</t>
        </is>
      </c>
      <c r="K1" s="6" t="inlineStr">
        <is>
          <t>Revenue (₹)</t>
        </is>
      </c>
      <c r="L1" s="6" t="inlineStr">
        <is>
          <t>Cost (₹)</t>
        </is>
      </c>
      <c r="M1" s="6" t="inlineStr">
        <is>
          <t>Profit (₹)</t>
        </is>
      </c>
      <c r="N1" s="6" t="inlineStr">
        <is>
          <t>Customer Type</t>
        </is>
      </c>
      <c r="O1" s="6" t="inlineStr">
        <is>
          <t>Sales Channel</t>
        </is>
      </c>
      <c r="P1" s="6" t="inlineStr">
        <is>
          <t>Target Sales (₹)</t>
        </is>
      </c>
      <c r="Q1" s="6" t="inlineStr">
        <is>
          <t>Achievement %</t>
        </is>
      </c>
      <c r="R1" s="6" t="inlineStr">
        <is>
          <t>Profit Margin %</t>
        </is>
      </c>
    </row>
    <row r="2">
      <c r="A2" s="7">
        <f>Raw_Data!A2</f>
        <v/>
      </c>
      <c r="B2" s="8">
        <f>Raw_Data!B2</f>
        <v/>
      </c>
      <c r="C2" s="8">
        <f>Raw_Data!C2</f>
        <v/>
      </c>
      <c r="D2" s="7">
        <f>Raw_Data!D2</f>
        <v/>
      </c>
      <c r="E2" s="7">
        <f>Raw_Data!E2</f>
        <v/>
      </c>
      <c r="F2" s="8">
        <f>Raw_Data!F2</f>
        <v/>
      </c>
      <c r="G2" s="8">
        <f>Raw_Data!G2</f>
        <v/>
      </c>
      <c r="H2" s="7">
        <f>Raw_Data!H2</f>
        <v/>
      </c>
      <c r="I2" s="7">
        <f>Raw_Data!I2</f>
        <v/>
      </c>
      <c r="J2" s="8">
        <f>Raw_Data!J2</f>
        <v/>
      </c>
      <c r="K2" s="8">
        <f>Raw_Data!K2</f>
        <v/>
      </c>
      <c r="L2" s="8">
        <f>Raw_Data!L2</f>
        <v/>
      </c>
      <c r="M2" s="7">
        <f>Raw_Data!M2</f>
        <v/>
      </c>
      <c r="N2" s="7">
        <f>Raw_Data!N2</f>
        <v/>
      </c>
      <c r="O2" s="7">
        <f>Raw_Data!O2</f>
        <v/>
      </c>
      <c r="P2" s="8">
        <f>Raw_Data!P2</f>
        <v/>
      </c>
      <c r="R2" s="9">
        <f>IFERROR(Cleaned_Data!M2/Cleaned_Data!K2,0)</f>
        <v/>
      </c>
    </row>
    <row r="3">
      <c r="A3" s="10">
        <f>Raw_Data!A3</f>
        <v/>
      </c>
      <c r="B3" s="11">
        <f>Raw_Data!B3</f>
        <v/>
      </c>
      <c r="C3" s="11">
        <f>Raw_Data!C3</f>
        <v/>
      </c>
      <c r="D3" s="10">
        <f>Raw_Data!D3</f>
        <v/>
      </c>
      <c r="E3" s="10">
        <f>Raw_Data!E3</f>
        <v/>
      </c>
      <c r="F3" s="11">
        <f>Raw_Data!F3</f>
        <v/>
      </c>
      <c r="G3" s="11">
        <f>Raw_Data!G3</f>
        <v/>
      </c>
      <c r="H3" s="10">
        <f>Raw_Data!H3</f>
        <v/>
      </c>
      <c r="I3" s="10">
        <f>Raw_Data!I3</f>
        <v/>
      </c>
      <c r="J3" s="11">
        <f>Raw_Data!J3</f>
        <v/>
      </c>
      <c r="K3" s="11">
        <f>Raw_Data!K3</f>
        <v/>
      </c>
      <c r="L3" s="11">
        <f>Raw_Data!L3</f>
        <v/>
      </c>
      <c r="M3" s="10">
        <f>Raw_Data!M3</f>
        <v/>
      </c>
      <c r="N3" s="10">
        <f>Raw_Data!N3</f>
        <v/>
      </c>
      <c r="O3" s="10">
        <f>Raw_Data!O3</f>
        <v/>
      </c>
      <c r="P3" s="11">
        <f>Raw_Data!P3</f>
        <v/>
      </c>
      <c r="R3" s="9">
        <f>IFERROR(Cleaned_Data!M3/Cleaned_Data!K3,0)</f>
        <v/>
      </c>
    </row>
    <row r="4">
      <c r="A4" s="7">
        <f>Raw_Data!A4</f>
        <v/>
      </c>
      <c r="B4" s="8">
        <f>Raw_Data!B4</f>
        <v/>
      </c>
      <c r="C4" s="8">
        <f>Raw_Data!C4</f>
        <v/>
      </c>
      <c r="D4" s="7">
        <f>Raw_Data!D4</f>
        <v/>
      </c>
      <c r="E4" s="7">
        <f>Raw_Data!E4</f>
        <v/>
      </c>
      <c r="F4" s="8">
        <f>Raw_Data!F4</f>
        <v/>
      </c>
      <c r="G4" s="8">
        <f>Raw_Data!G4</f>
        <v/>
      </c>
      <c r="H4" s="7">
        <f>Raw_Data!H4</f>
        <v/>
      </c>
      <c r="I4" s="7">
        <f>Raw_Data!I4</f>
        <v/>
      </c>
      <c r="J4" s="8">
        <f>Raw_Data!J4</f>
        <v/>
      </c>
      <c r="K4" s="8">
        <f>Raw_Data!K4</f>
        <v/>
      </c>
      <c r="L4" s="8">
        <f>Raw_Data!L4</f>
        <v/>
      </c>
      <c r="M4" s="7">
        <f>Raw_Data!M4</f>
        <v/>
      </c>
      <c r="N4" s="7">
        <f>Raw_Data!N4</f>
        <v/>
      </c>
      <c r="O4" s="7">
        <f>Raw_Data!O4</f>
        <v/>
      </c>
      <c r="P4" s="8">
        <f>Raw_Data!P4</f>
        <v/>
      </c>
      <c r="R4" s="9">
        <f>IFERROR(Cleaned_Data!M4/Cleaned_Data!K4,0)</f>
        <v/>
      </c>
    </row>
    <row r="5">
      <c r="A5" s="10">
        <f>Raw_Data!A5</f>
        <v/>
      </c>
      <c r="B5" s="11">
        <f>Raw_Data!B5</f>
        <v/>
      </c>
      <c r="C5" s="11">
        <f>Raw_Data!C5</f>
        <v/>
      </c>
      <c r="D5" s="10">
        <f>Raw_Data!D5</f>
        <v/>
      </c>
      <c r="E5" s="10">
        <f>Raw_Data!E5</f>
        <v/>
      </c>
      <c r="F5" s="11">
        <f>Raw_Data!F5</f>
        <v/>
      </c>
      <c r="G5" s="11">
        <f>Raw_Data!G5</f>
        <v/>
      </c>
      <c r="H5" s="10">
        <f>Raw_Data!H5</f>
        <v/>
      </c>
      <c r="I5" s="10">
        <f>Raw_Data!I5</f>
        <v/>
      </c>
      <c r="J5" s="11">
        <f>Raw_Data!J5</f>
        <v/>
      </c>
      <c r="K5" s="11">
        <f>Raw_Data!K5</f>
        <v/>
      </c>
      <c r="L5" s="11">
        <f>Raw_Data!L5</f>
        <v/>
      </c>
      <c r="M5" s="10">
        <f>Raw_Data!M5</f>
        <v/>
      </c>
      <c r="N5" s="10">
        <f>Raw_Data!N5</f>
        <v/>
      </c>
      <c r="O5" s="10">
        <f>Raw_Data!O5</f>
        <v/>
      </c>
      <c r="P5" s="11">
        <f>Raw_Data!P5</f>
        <v/>
      </c>
      <c r="R5" s="9">
        <f>IFERROR(Cleaned_Data!M5/Cleaned_Data!K5,0)</f>
        <v/>
      </c>
    </row>
    <row r="6">
      <c r="A6" s="7">
        <f>Raw_Data!A6</f>
        <v/>
      </c>
      <c r="B6" s="8">
        <f>Raw_Data!B6</f>
        <v/>
      </c>
      <c r="C6" s="8">
        <f>Raw_Data!C6</f>
        <v/>
      </c>
      <c r="D6" s="7">
        <f>Raw_Data!D6</f>
        <v/>
      </c>
      <c r="E6" s="7">
        <f>Raw_Data!E6</f>
        <v/>
      </c>
      <c r="F6" s="8">
        <f>Raw_Data!F6</f>
        <v/>
      </c>
      <c r="G6" s="8">
        <f>Raw_Data!G6</f>
        <v/>
      </c>
      <c r="H6" s="7">
        <f>Raw_Data!H6</f>
        <v/>
      </c>
      <c r="I6" s="7">
        <f>Raw_Data!I6</f>
        <v/>
      </c>
      <c r="J6" s="8">
        <f>Raw_Data!J6</f>
        <v/>
      </c>
      <c r="K6" s="8">
        <f>Raw_Data!K6</f>
        <v/>
      </c>
      <c r="L6" s="8">
        <f>Raw_Data!L6</f>
        <v/>
      </c>
      <c r="M6" s="7">
        <f>Raw_Data!M6</f>
        <v/>
      </c>
      <c r="N6" s="7">
        <f>Raw_Data!N6</f>
        <v/>
      </c>
      <c r="O6" s="7">
        <f>Raw_Data!O6</f>
        <v/>
      </c>
      <c r="P6" s="8">
        <f>Raw_Data!P6</f>
        <v/>
      </c>
      <c r="R6" s="9">
        <f>IFERROR(Cleaned_Data!M6/Cleaned_Data!K6,0)</f>
        <v/>
      </c>
    </row>
    <row r="7">
      <c r="A7" s="10">
        <f>Raw_Data!A7</f>
        <v/>
      </c>
      <c r="B7" s="11">
        <f>Raw_Data!B7</f>
        <v/>
      </c>
      <c r="C7" s="11">
        <f>Raw_Data!C7</f>
        <v/>
      </c>
      <c r="D7" s="10">
        <f>Raw_Data!D7</f>
        <v/>
      </c>
      <c r="E7" s="10">
        <f>Raw_Data!E7</f>
        <v/>
      </c>
      <c r="F7" s="11">
        <f>Raw_Data!F7</f>
        <v/>
      </c>
      <c r="G7" s="11">
        <f>Raw_Data!G7</f>
        <v/>
      </c>
      <c r="H7" s="10">
        <f>Raw_Data!H7</f>
        <v/>
      </c>
      <c r="I7" s="10">
        <f>Raw_Data!I7</f>
        <v/>
      </c>
      <c r="J7" s="11">
        <f>Raw_Data!J7</f>
        <v/>
      </c>
      <c r="K7" s="11">
        <f>Raw_Data!K7</f>
        <v/>
      </c>
      <c r="L7" s="11">
        <f>Raw_Data!L7</f>
        <v/>
      </c>
      <c r="M7" s="10">
        <f>Raw_Data!M7</f>
        <v/>
      </c>
      <c r="N7" s="10">
        <f>Raw_Data!N7</f>
        <v/>
      </c>
      <c r="O7" s="10">
        <f>Raw_Data!O7</f>
        <v/>
      </c>
      <c r="P7" s="11">
        <f>Raw_Data!P7</f>
        <v/>
      </c>
      <c r="R7" s="9">
        <f>IFERROR(Cleaned_Data!M7/Cleaned_Data!K7,0)</f>
        <v/>
      </c>
    </row>
    <row r="8">
      <c r="A8" s="7">
        <f>Raw_Data!A8</f>
        <v/>
      </c>
      <c r="B8" s="8">
        <f>Raw_Data!B8</f>
        <v/>
      </c>
      <c r="C8" s="8">
        <f>Raw_Data!C8</f>
        <v/>
      </c>
      <c r="D8" s="7">
        <f>Raw_Data!D8</f>
        <v/>
      </c>
      <c r="E8" s="7">
        <f>Raw_Data!E8</f>
        <v/>
      </c>
      <c r="F8" s="8">
        <f>Raw_Data!F8</f>
        <v/>
      </c>
      <c r="G8" s="8">
        <f>Raw_Data!G8</f>
        <v/>
      </c>
      <c r="H8" s="7">
        <f>Raw_Data!H8</f>
        <v/>
      </c>
      <c r="I8" s="7">
        <f>Raw_Data!I8</f>
        <v/>
      </c>
      <c r="J8" s="8">
        <f>Raw_Data!J8</f>
        <v/>
      </c>
      <c r="K8" s="8">
        <f>Raw_Data!K8</f>
        <v/>
      </c>
      <c r="L8" s="8">
        <f>Raw_Data!L8</f>
        <v/>
      </c>
      <c r="M8" s="7">
        <f>Raw_Data!M8</f>
        <v/>
      </c>
      <c r="N8" s="7">
        <f>Raw_Data!N8</f>
        <v/>
      </c>
      <c r="O8" s="7">
        <f>Raw_Data!O8</f>
        <v/>
      </c>
      <c r="P8" s="8">
        <f>Raw_Data!P8</f>
        <v/>
      </c>
      <c r="R8" s="9">
        <f>IFERROR(Cleaned_Data!M8/Cleaned_Data!K8,0)</f>
        <v/>
      </c>
    </row>
    <row r="9">
      <c r="A9" s="10">
        <f>Raw_Data!A9</f>
        <v/>
      </c>
      <c r="B9" s="11">
        <f>Raw_Data!B9</f>
        <v/>
      </c>
      <c r="C9" s="11">
        <f>Raw_Data!C9</f>
        <v/>
      </c>
      <c r="D9" s="10">
        <f>Raw_Data!D9</f>
        <v/>
      </c>
      <c r="E9" s="10">
        <f>Raw_Data!E9</f>
        <v/>
      </c>
      <c r="F9" s="11">
        <f>Raw_Data!F9</f>
        <v/>
      </c>
      <c r="G9" s="11">
        <f>Raw_Data!G9</f>
        <v/>
      </c>
      <c r="H9" s="10">
        <f>Raw_Data!H9</f>
        <v/>
      </c>
      <c r="I9" s="10">
        <f>Raw_Data!I9</f>
        <v/>
      </c>
      <c r="J9" s="11">
        <f>Raw_Data!J9</f>
        <v/>
      </c>
      <c r="K9" s="11">
        <f>Raw_Data!K9</f>
        <v/>
      </c>
      <c r="L9" s="11">
        <f>Raw_Data!L9</f>
        <v/>
      </c>
      <c r="M9" s="10">
        <f>Raw_Data!M9</f>
        <v/>
      </c>
      <c r="N9" s="10">
        <f>Raw_Data!N9</f>
        <v/>
      </c>
      <c r="O9" s="10">
        <f>Raw_Data!O9</f>
        <v/>
      </c>
      <c r="P9" s="11">
        <f>Raw_Data!P9</f>
        <v/>
      </c>
      <c r="R9" s="9">
        <f>IFERROR(Cleaned_Data!M9/Cleaned_Data!K9,0)</f>
        <v/>
      </c>
    </row>
    <row r="10">
      <c r="A10" s="7">
        <f>Raw_Data!A10</f>
        <v/>
      </c>
      <c r="B10" s="8">
        <f>Raw_Data!B10</f>
        <v/>
      </c>
      <c r="C10" s="8">
        <f>Raw_Data!C10</f>
        <v/>
      </c>
      <c r="D10" s="7">
        <f>Raw_Data!D10</f>
        <v/>
      </c>
      <c r="E10" s="7">
        <f>Raw_Data!E10</f>
        <v/>
      </c>
      <c r="F10" s="8">
        <f>Raw_Data!F10</f>
        <v/>
      </c>
      <c r="G10" s="8">
        <f>Raw_Data!G10</f>
        <v/>
      </c>
      <c r="H10" s="7">
        <f>Raw_Data!H10</f>
        <v/>
      </c>
      <c r="I10" s="7">
        <f>Raw_Data!I10</f>
        <v/>
      </c>
      <c r="J10" s="8">
        <f>Raw_Data!J10</f>
        <v/>
      </c>
      <c r="K10" s="8">
        <f>Raw_Data!K10</f>
        <v/>
      </c>
      <c r="L10" s="8">
        <f>Raw_Data!L10</f>
        <v/>
      </c>
      <c r="M10" s="7">
        <f>Raw_Data!M10</f>
        <v/>
      </c>
      <c r="N10" s="7">
        <f>Raw_Data!N10</f>
        <v/>
      </c>
      <c r="O10" s="7">
        <f>Raw_Data!O10</f>
        <v/>
      </c>
      <c r="P10" s="8">
        <f>Raw_Data!P10</f>
        <v/>
      </c>
      <c r="R10" s="9">
        <f>IFERROR(Cleaned_Data!M10/Cleaned_Data!K10,0)</f>
        <v/>
      </c>
    </row>
    <row r="11">
      <c r="A11" s="10">
        <f>Raw_Data!A11</f>
        <v/>
      </c>
      <c r="B11" s="11">
        <f>Raw_Data!B11</f>
        <v/>
      </c>
      <c r="C11" s="11">
        <f>Raw_Data!C11</f>
        <v/>
      </c>
      <c r="D11" s="10">
        <f>Raw_Data!D11</f>
        <v/>
      </c>
      <c r="E11" s="10">
        <f>Raw_Data!E11</f>
        <v/>
      </c>
      <c r="F11" s="11">
        <f>Raw_Data!F11</f>
        <v/>
      </c>
      <c r="G11" s="11">
        <f>Raw_Data!G11</f>
        <v/>
      </c>
      <c r="H11" s="10">
        <f>Raw_Data!H11</f>
        <v/>
      </c>
      <c r="I11" s="10">
        <f>Raw_Data!I11</f>
        <v/>
      </c>
      <c r="J11" s="11">
        <f>Raw_Data!J11</f>
        <v/>
      </c>
      <c r="K11" s="11">
        <f>Raw_Data!K11</f>
        <v/>
      </c>
      <c r="L11" s="11">
        <f>Raw_Data!L11</f>
        <v/>
      </c>
      <c r="M11" s="10">
        <f>Raw_Data!M11</f>
        <v/>
      </c>
      <c r="N11" s="10">
        <f>Raw_Data!N11</f>
        <v/>
      </c>
      <c r="O11" s="10">
        <f>Raw_Data!O11</f>
        <v/>
      </c>
      <c r="P11" s="11">
        <f>Raw_Data!P11</f>
        <v/>
      </c>
      <c r="R11" s="9">
        <f>IFERROR(Cleaned_Data!M11/Cleaned_Data!K11,0)</f>
        <v/>
      </c>
    </row>
    <row r="12">
      <c r="A12" s="7">
        <f>Raw_Data!A12</f>
        <v/>
      </c>
      <c r="B12" s="8">
        <f>Raw_Data!B12</f>
        <v/>
      </c>
      <c r="C12" s="8">
        <f>Raw_Data!C12</f>
        <v/>
      </c>
      <c r="D12" s="7">
        <f>Raw_Data!D12</f>
        <v/>
      </c>
      <c r="E12" s="7">
        <f>Raw_Data!E12</f>
        <v/>
      </c>
      <c r="F12" s="8">
        <f>Raw_Data!F12</f>
        <v/>
      </c>
      <c r="G12" s="8">
        <f>Raw_Data!G12</f>
        <v/>
      </c>
      <c r="H12" s="7">
        <f>Raw_Data!H12</f>
        <v/>
      </c>
      <c r="I12" s="7">
        <f>Raw_Data!I12</f>
        <v/>
      </c>
      <c r="J12" s="8">
        <f>Raw_Data!J12</f>
        <v/>
      </c>
      <c r="K12" s="8">
        <f>Raw_Data!K12</f>
        <v/>
      </c>
      <c r="L12" s="8">
        <f>Raw_Data!L12</f>
        <v/>
      </c>
      <c r="M12" s="7">
        <f>Raw_Data!M12</f>
        <v/>
      </c>
      <c r="N12" s="7">
        <f>Raw_Data!N12</f>
        <v/>
      </c>
      <c r="O12" s="7">
        <f>Raw_Data!O12</f>
        <v/>
      </c>
      <c r="P12" s="8">
        <f>Raw_Data!P12</f>
        <v/>
      </c>
      <c r="R12" s="9">
        <f>IFERROR(Cleaned_Data!M12/Cleaned_Data!K12,0)</f>
        <v/>
      </c>
    </row>
    <row r="13">
      <c r="A13" s="10">
        <f>Raw_Data!A13</f>
        <v/>
      </c>
      <c r="B13" s="11">
        <f>Raw_Data!B13</f>
        <v/>
      </c>
      <c r="C13" s="11">
        <f>Raw_Data!C13</f>
        <v/>
      </c>
      <c r="D13" s="10">
        <f>Raw_Data!D13</f>
        <v/>
      </c>
      <c r="E13" s="10">
        <f>Raw_Data!E13</f>
        <v/>
      </c>
      <c r="F13" s="11">
        <f>Raw_Data!F13</f>
        <v/>
      </c>
      <c r="G13" s="11">
        <f>Raw_Data!G13</f>
        <v/>
      </c>
      <c r="H13" s="10">
        <f>Raw_Data!H13</f>
        <v/>
      </c>
      <c r="I13" s="10">
        <f>Raw_Data!I13</f>
        <v/>
      </c>
      <c r="J13" s="11">
        <f>Raw_Data!J13</f>
        <v/>
      </c>
      <c r="K13" s="11">
        <f>Raw_Data!K13</f>
        <v/>
      </c>
      <c r="L13" s="11">
        <f>Raw_Data!L13</f>
        <v/>
      </c>
      <c r="M13" s="10">
        <f>Raw_Data!M13</f>
        <v/>
      </c>
      <c r="N13" s="10">
        <f>Raw_Data!N13</f>
        <v/>
      </c>
      <c r="O13" s="10">
        <f>Raw_Data!O13</f>
        <v/>
      </c>
      <c r="P13" s="11">
        <f>Raw_Data!P13</f>
        <v/>
      </c>
      <c r="R13" s="9">
        <f>IFERROR(Cleaned_Data!M13/Cleaned_Data!K13,0)</f>
        <v/>
      </c>
    </row>
    <row r="14">
      <c r="A14" s="7">
        <f>Raw_Data!A14</f>
        <v/>
      </c>
      <c r="B14" s="8">
        <f>Raw_Data!B14</f>
        <v/>
      </c>
      <c r="C14" s="8">
        <f>Raw_Data!C14</f>
        <v/>
      </c>
      <c r="D14" s="7">
        <f>Raw_Data!D14</f>
        <v/>
      </c>
      <c r="E14" s="7">
        <f>Raw_Data!E14</f>
        <v/>
      </c>
      <c r="F14" s="8">
        <f>Raw_Data!F14</f>
        <v/>
      </c>
      <c r="G14" s="8">
        <f>Raw_Data!G14</f>
        <v/>
      </c>
      <c r="H14" s="7">
        <f>Raw_Data!H14</f>
        <v/>
      </c>
      <c r="I14" s="7">
        <f>Raw_Data!I14</f>
        <v/>
      </c>
      <c r="J14" s="8">
        <f>Raw_Data!J14</f>
        <v/>
      </c>
      <c r="K14" s="8">
        <f>Raw_Data!K14</f>
        <v/>
      </c>
      <c r="L14" s="8">
        <f>Raw_Data!L14</f>
        <v/>
      </c>
      <c r="M14" s="7">
        <f>Raw_Data!M14</f>
        <v/>
      </c>
      <c r="N14" s="7">
        <f>Raw_Data!N14</f>
        <v/>
      </c>
      <c r="O14" s="7">
        <f>Raw_Data!O14</f>
        <v/>
      </c>
      <c r="P14" s="8">
        <f>Raw_Data!P14</f>
        <v/>
      </c>
      <c r="R14" s="9">
        <f>IFERROR(Cleaned_Data!M14/Cleaned_Data!K14,0)</f>
        <v/>
      </c>
    </row>
    <row r="15">
      <c r="A15" s="10">
        <f>Raw_Data!A15</f>
        <v/>
      </c>
      <c r="B15" s="11">
        <f>Raw_Data!B15</f>
        <v/>
      </c>
      <c r="C15" s="11">
        <f>Raw_Data!C15</f>
        <v/>
      </c>
      <c r="D15" s="10">
        <f>Raw_Data!D15</f>
        <v/>
      </c>
      <c r="E15" s="10">
        <f>Raw_Data!E15</f>
        <v/>
      </c>
      <c r="F15" s="11">
        <f>Raw_Data!F15</f>
        <v/>
      </c>
      <c r="G15" s="11">
        <f>Raw_Data!G15</f>
        <v/>
      </c>
      <c r="H15" s="10">
        <f>Raw_Data!H15</f>
        <v/>
      </c>
      <c r="I15" s="10">
        <f>Raw_Data!I15</f>
        <v/>
      </c>
      <c r="J15" s="11">
        <f>Raw_Data!J15</f>
        <v/>
      </c>
      <c r="K15" s="11">
        <f>Raw_Data!K15</f>
        <v/>
      </c>
      <c r="L15" s="11">
        <f>Raw_Data!L15</f>
        <v/>
      </c>
      <c r="M15" s="10">
        <f>Raw_Data!M15</f>
        <v/>
      </c>
      <c r="N15" s="10">
        <f>Raw_Data!N15</f>
        <v/>
      </c>
      <c r="O15" s="10">
        <f>Raw_Data!O15</f>
        <v/>
      </c>
      <c r="P15" s="11">
        <f>Raw_Data!P15</f>
        <v/>
      </c>
      <c r="R15" s="9">
        <f>IFERROR(Cleaned_Data!M15/Cleaned_Data!K15,0)</f>
        <v/>
      </c>
    </row>
    <row r="16">
      <c r="A16" s="7">
        <f>Raw_Data!A16</f>
        <v/>
      </c>
      <c r="B16" s="8">
        <f>Raw_Data!B16</f>
        <v/>
      </c>
      <c r="C16" s="8">
        <f>Raw_Data!C16</f>
        <v/>
      </c>
      <c r="D16" s="7">
        <f>Raw_Data!D16</f>
        <v/>
      </c>
      <c r="E16" s="7">
        <f>Raw_Data!E16</f>
        <v/>
      </c>
      <c r="F16" s="8">
        <f>Raw_Data!F16</f>
        <v/>
      </c>
      <c r="G16" s="8">
        <f>Raw_Data!G16</f>
        <v/>
      </c>
      <c r="H16" s="7">
        <f>Raw_Data!H16</f>
        <v/>
      </c>
      <c r="I16" s="7">
        <f>Raw_Data!I16</f>
        <v/>
      </c>
      <c r="J16" s="8">
        <f>Raw_Data!J16</f>
        <v/>
      </c>
      <c r="K16" s="8">
        <f>Raw_Data!K16</f>
        <v/>
      </c>
      <c r="L16" s="8">
        <f>Raw_Data!L16</f>
        <v/>
      </c>
      <c r="M16" s="7">
        <f>Raw_Data!M16</f>
        <v/>
      </c>
      <c r="N16" s="7">
        <f>Raw_Data!N16</f>
        <v/>
      </c>
      <c r="O16" s="7">
        <f>Raw_Data!O16</f>
        <v/>
      </c>
      <c r="P16" s="8">
        <f>Raw_Data!P16</f>
        <v/>
      </c>
      <c r="R16" s="9">
        <f>IFERROR(Cleaned_Data!M16/Cleaned_Data!K16,0)</f>
        <v/>
      </c>
    </row>
    <row r="17">
      <c r="A17" s="10">
        <f>Raw_Data!A17</f>
        <v/>
      </c>
      <c r="B17" s="11">
        <f>Raw_Data!B17</f>
        <v/>
      </c>
      <c r="C17" s="11">
        <f>Raw_Data!C17</f>
        <v/>
      </c>
      <c r="D17" s="10">
        <f>Raw_Data!D17</f>
        <v/>
      </c>
      <c r="E17" s="10">
        <f>Raw_Data!E17</f>
        <v/>
      </c>
      <c r="F17" s="11">
        <f>Raw_Data!F17</f>
        <v/>
      </c>
      <c r="G17" s="11">
        <f>Raw_Data!G17</f>
        <v/>
      </c>
      <c r="H17" s="10">
        <f>Raw_Data!H17</f>
        <v/>
      </c>
      <c r="I17" s="10">
        <f>Raw_Data!I17</f>
        <v/>
      </c>
      <c r="J17" s="11">
        <f>Raw_Data!J17</f>
        <v/>
      </c>
      <c r="K17" s="11">
        <f>Raw_Data!K17</f>
        <v/>
      </c>
      <c r="L17" s="11">
        <f>Raw_Data!L17</f>
        <v/>
      </c>
      <c r="M17" s="10">
        <f>Raw_Data!M17</f>
        <v/>
      </c>
      <c r="N17" s="10">
        <f>Raw_Data!N17</f>
        <v/>
      </c>
      <c r="O17" s="10">
        <f>Raw_Data!O17</f>
        <v/>
      </c>
      <c r="P17" s="11">
        <f>Raw_Data!P17</f>
        <v/>
      </c>
      <c r="R17" s="9">
        <f>IFERROR(Cleaned_Data!M17/Cleaned_Data!K17,0)</f>
        <v/>
      </c>
    </row>
    <row r="18">
      <c r="A18" s="7">
        <f>Raw_Data!A18</f>
        <v/>
      </c>
      <c r="B18" s="8">
        <f>Raw_Data!B18</f>
        <v/>
      </c>
      <c r="C18" s="8">
        <f>Raw_Data!C18</f>
        <v/>
      </c>
      <c r="D18" s="7">
        <f>Raw_Data!D18</f>
        <v/>
      </c>
      <c r="E18" s="7">
        <f>Raw_Data!E18</f>
        <v/>
      </c>
      <c r="F18" s="8">
        <f>Raw_Data!F18</f>
        <v/>
      </c>
      <c r="G18" s="8">
        <f>Raw_Data!G18</f>
        <v/>
      </c>
      <c r="H18" s="7">
        <f>Raw_Data!H18</f>
        <v/>
      </c>
      <c r="I18" s="7">
        <f>Raw_Data!I18</f>
        <v/>
      </c>
      <c r="J18" s="8">
        <f>Raw_Data!J18</f>
        <v/>
      </c>
      <c r="K18" s="8">
        <f>Raw_Data!K18</f>
        <v/>
      </c>
      <c r="L18" s="8">
        <f>Raw_Data!L18</f>
        <v/>
      </c>
      <c r="M18" s="7">
        <f>Raw_Data!M18</f>
        <v/>
      </c>
      <c r="N18" s="7">
        <f>Raw_Data!N18</f>
        <v/>
      </c>
      <c r="O18" s="7">
        <f>Raw_Data!O18</f>
        <v/>
      </c>
      <c r="P18" s="8">
        <f>Raw_Data!P18</f>
        <v/>
      </c>
      <c r="R18" s="9">
        <f>IFERROR(Cleaned_Data!M18/Cleaned_Data!K18,0)</f>
        <v/>
      </c>
    </row>
    <row r="19">
      <c r="A19" s="10">
        <f>Raw_Data!A19</f>
        <v/>
      </c>
      <c r="B19" s="11">
        <f>Raw_Data!B19</f>
        <v/>
      </c>
      <c r="C19" s="11">
        <f>Raw_Data!C19</f>
        <v/>
      </c>
      <c r="D19" s="10">
        <f>Raw_Data!D19</f>
        <v/>
      </c>
      <c r="E19" s="10">
        <f>Raw_Data!E19</f>
        <v/>
      </c>
      <c r="F19" s="11">
        <f>Raw_Data!F19</f>
        <v/>
      </c>
      <c r="G19" s="11">
        <f>Raw_Data!G19</f>
        <v/>
      </c>
      <c r="H19" s="10">
        <f>Raw_Data!H19</f>
        <v/>
      </c>
      <c r="I19" s="10">
        <f>Raw_Data!I19</f>
        <v/>
      </c>
      <c r="J19" s="11">
        <f>Raw_Data!J19</f>
        <v/>
      </c>
      <c r="K19" s="11">
        <f>Raw_Data!K19</f>
        <v/>
      </c>
      <c r="L19" s="11">
        <f>Raw_Data!L19</f>
        <v/>
      </c>
      <c r="M19" s="10">
        <f>Raw_Data!M19</f>
        <v/>
      </c>
      <c r="N19" s="10">
        <f>Raw_Data!N19</f>
        <v/>
      </c>
      <c r="O19" s="10">
        <f>Raw_Data!O19</f>
        <v/>
      </c>
      <c r="P19" s="11">
        <f>Raw_Data!P19</f>
        <v/>
      </c>
      <c r="R19" s="9">
        <f>IFERROR(Cleaned_Data!M19/Cleaned_Data!K19,0)</f>
        <v/>
      </c>
    </row>
    <row r="20">
      <c r="A20" s="7">
        <f>Raw_Data!A20</f>
        <v/>
      </c>
      <c r="B20" s="8">
        <f>Raw_Data!B20</f>
        <v/>
      </c>
      <c r="C20" s="8">
        <f>Raw_Data!C20</f>
        <v/>
      </c>
      <c r="D20" s="7">
        <f>Raw_Data!D20</f>
        <v/>
      </c>
      <c r="E20" s="7">
        <f>Raw_Data!E20</f>
        <v/>
      </c>
      <c r="F20" s="8">
        <f>Raw_Data!F20</f>
        <v/>
      </c>
      <c r="G20" s="8">
        <f>Raw_Data!G20</f>
        <v/>
      </c>
      <c r="H20" s="7">
        <f>Raw_Data!H20</f>
        <v/>
      </c>
      <c r="I20" s="7">
        <f>Raw_Data!I20</f>
        <v/>
      </c>
      <c r="J20" s="8">
        <f>Raw_Data!J20</f>
        <v/>
      </c>
      <c r="K20" s="8">
        <f>Raw_Data!K20</f>
        <v/>
      </c>
      <c r="L20" s="8">
        <f>Raw_Data!L20</f>
        <v/>
      </c>
      <c r="M20" s="7">
        <f>Raw_Data!M20</f>
        <v/>
      </c>
      <c r="N20" s="7">
        <f>Raw_Data!N20</f>
        <v/>
      </c>
      <c r="O20" s="7">
        <f>Raw_Data!O20</f>
        <v/>
      </c>
      <c r="P20" s="8">
        <f>Raw_Data!P20</f>
        <v/>
      </c>
      <c r="R20" s="9">
        <f>IFERROR(Cleaned_Data!M20/Cleaned_Data!K20,0)</f>
        <v/>
      </c>
    </row>
    <row r="21">
      <c r="A21" s="10">
        <f>Raw_Data!A21</f>
        <v/>
      </c>
      <c r="B21" s="11">
        <f>Raw_Data!B21</f>
        <v/>
      </c>
      <c r="C21" s="11">
        <f>Raw_Data!C21</f>
        <v/>
      </c>
      <c r="D21" s="10">
        <f>Raw_Data!D21</f>
        <v/>
      </c>
      <c r="E21" s="10">
        <f>Raw_Data!E21</f>
        <v/>
      </c>
      <c r="F21" s="11">
        <f>Raw_Data!F21</f>
        <v/>
      </c>
      <c r="G21" s="11">
        <f>Raw_Data!G21</f>
        <v/>
      </c>
      <c r="H21" s="10">
        <f>Raw_Data!H21</f>
        <v/>
      </c>
      <c r="I21" s="10">
        <f>Raw_Data!I21</f>
        <v/>
      </c>
      <c r="J21" s="11">
        <f>Raw_Data!J21</f>
        <v/>
      </c>
      <c r="K21" s="11">
        <f>Raw_Data!K21</f>
        <v/>
      </c>
      <c r="L21" s="11">
        <f>Raw_Data!L21</f>
        <v/>
      </c>
      <c r="M21" s="10">
        <f>Raw_Data!M21</f>
        <v/>
      </c>
      <c r="N21" s="10">
        <f>Raw_Data!N21</f>
        <v/>
      </c>
      <c r="O21" s="10">
        <f>Raw_Data!O21</f>
        <v/>
      </c>
      <c r="P21" s="11">
        <f>Raw_Data!P21</f>
        <v/>
      </c>
      <c r="R21" s="9">
        <f>IFERROR(Cleaned_Data!M21/Cleaned_Data!K21,0)</f>
        <v/>
      </c>
    </row>
    <row r="22">
      <c r="A22" s="7">
        <f>Raw_Data!A22</f>
        <v/>
      </c>
      <c r="B22" s="8">
        <f>Raw_Data!B22</f>
        <v/>
      </c>
      <c r="C22" s="8">
        <f>Raw_Data!C22</f>
        <v/>
      </c>
      <c r="D22" s="7">
        <f>Raw_Data!D22</f>
        <v/>
      </c>
      <c r="E22" s="7">
        <f>Raw_Data!E22</f>
        <v/>
      </c>
      <c r="F22" s="8">
        <f>Raw_Data!F22</f>
        <v/>
      </c>
      <c r="G22" s="8">
        <f>Raw_Data!G22</f>
        <v/>
      </c>
      <c r="H22" s="7">
        <f>Raw_Data!H22</f>
        <v/>
      </c>
      <c r="I22" s="7">
        <f>Raw_Data!I22</f>
        <v/>
      </c>
      <c r="J22" s="8">
        <f>Raw_Data!J22</f>
        <v/>
      </c>
      <c r="K22" s="8">
        <f>Raw_Data!K22</f>
        <v/>
      </c>
      <c r="L22" s="8">
        <f>Raw_Data!L22</f>
        <v/>
      </c>
      <c r="M22" s="7">
        <f>Raw_Data!M22</f>
        <v/>
      </c>
      <c r="N22" s="7">
        <f>Raw_Data!N22</f>
        <v/>
      </c>
      <c r="O22" s="7">
        <f>Raw_Data!O22</f>
        <v/>
      </c>
      <c r="P22" s="8">
        <f>Raw_Data!P22</f>
        <v/>
      </c>
      <c r="R22" s="9">
        <f>IFERROR(Cleaned_Data!M22/Cleaned_Data!K22,0)</f>
        <v/>
      </c>
    </row>
    <row r="23">
      <c r="A23" s="10">
        <f>Raw_Data!A23</f>
        <v/>
      </c>
      <c r="B23" s="11">
        <f>Raw_Data!B23</f>
        <v/>
      </c>
      <c r="C23" s="11">
        <f>Raw_Data!C23</f>
        <v/>
      </c>
      <c r="D23" s="10">
        <f>Raw_Data!D23</f>
        <v/>
      </c>
      <c r="E23" s="10">
        <f>Raw_Data!E23</f>
        <v/>
      </c>
      <c r="F23" s="11">
        <f>Raw_Data!F23</f>
        <v/>
      </c>
      <c r="G23" s="11">
        <f>Raw_Data!G23</f>
        <v/>
      </c>
      <c r="H23" s="10">
        <f>Raw_Data!H23</f>
        <v/>
      </c>
      <c r="I23" s="10">
        <f>Raw_Data!I23</f>
        <v/>
      </c>
      <c r="J23" s="11">
        <f>Raw_Data!J23</f>
        <v/>
      </c>
      <c r="K23" s="11">
        <f>Raw_Data!K23</f>
        <v/>
      </c>
      <c r="L23" s="11">
        <f>Raw_Data!L23</f>
        <v/>
      </c>
      <c r="M23" s="10">
        <f>Raw_Data!M23</f>
        <v/>
      </c>
      <c r="N23" s="10">
        <f>Raw_Data!N23</f>
        <v/>
      </c>
      <c r="O23" s="10">
        <f>Raw_Data!O23</f>
        <v/>
      </c>
      <c r="P23" s="11">
        <f>Raw_Data!P23</f>
        <v/>
      </c>
      <c r="R23" s="9">
        <f>IFERROR(Cleaned_Data!M23/Cleaned_Data!K23,0)</f>
        <v/>
      </c>
    </row>
    <row r="24">
      <c r="A24" s="7">
        <f>Raw_Data!A24</f>
        <v/>
      </c>
      <c r="B24" s="8">
        <f>Raw_Data!B24</f>
        <v/>
      </c>
      <c r="C24" s="8">
        <f>Raw_Data!C24</f>
        <v/>
      </c>
      <c r="D24" s="7">
        <f>Raw_Data!D24</f>
        <v/>
      </c>
      <c r="E24" s="7">
        <f>Raw_Data!E24</f>
        <v/>
      </c>
      <c r="F24" s="8">
        <f>Raw_Data!F24</f>
        <v/>
      </c>
      <c r="G24" s="8">
        <f>Raw_Data!G24</f>
        <v/>
      </c>
      <c r="H24" s="7">
        <f>Raw_Data!H24</f>
        <v/>
      </c>
      <c r="I24" s="7">
        <f>Raw_Data!I24</f>
        <v/>
      </c>
      <c r="J24" s="8">
        <f>Raw_Data!J24</f>
        <v/>
      </c>
      <c r="K24" s="8">
        <f>Raw_Data!K24</f>
        <v/>
      </c>
      <c r="L24" s="8">
        <f>Raw_Data!L24</f>
        <v/>
      </c>
      <c r="M24" s="7">
        <f>Raw_Data!M24</f>
        <v/>
      </c>
      <c r="N24" s="7">
        <f>Raw_Data!N24</f>
        <v/>
      </c>
      <c r="O24" s="7">
        <f>Raw_Data!O24</f>
        <v/>
      </c>
      <c r="P24" s="8">
        <f>Raw_Data!P24</f>
        <v/>
      </c>
      <c r="R24" s="9">
        <f>IFERROR(Cleaned_Data!M24/Cleaned_Data!K24,0)</f>
        <v/>
      </c>
    </row>
    <row r="25">
      <c r="A25" s="10">
        <f>Raw_Data!A25</f>
        <v/>
      </c>
      <c r="B25" s="11">
        <f>Raw_Data!B25</f>
        <v/>
      </c>
      <c r="C25" s="11">
        <f>Raw_Data!C25</f>
        <v/>
      </c>
      <c r="D25" s="10">
        <f>Raw_Data!D25</f>
        <v/>
      </c>
      <c r="E25" s="10">
        <f>Raw_Data!E25</f>
        <v/>
      </c>
      <c r="F25" s="11">
        <f>Raw_Data!F25</f>
        <v/>
      </c>
      <c r="G25" s="11">
        <f>Raw_Data!G25</f>
        <v/>
      </c>
      <c r="H25" s="10">
        <f>Raw_Data!H25</f>
        <v/>
      </c>
      <c r="I25" s="10">
        <f>Raw_Data!I25</f>
        <v/>
      </c>
      <c r="J25" s="11">
        <f>Raw_Data!J25</f>
        <v/>
      </c>
      <c r="K25" s="11">
        <f>Raw_Data!K25</f>
        <v/>
      </c>
      <c r="L25" s="11">
        <f>Raw_Data!L25</f>
        <v/>
      </c>
      <c r="M25" s="10">
        <f>Raw_Data!M25</f>
        <v/>
      </c>
      <c r="N25" s="10">
        <f>Raw_Data!N25</f>
        <v/>
      </c>
      <c r="O25" s="10">
        <f>Raw_Data!O25</f>
        <v/>
      </c>
      <c r="P25" s="11">
        <f>Raw_Data!P25</f>
        <v/>
      </c>
      <c r="R25" s="9">
        <f>IFERROR(Cleaned_Data!M25/Cleaned_Data!K25,0)</f>
        <v/>
      </c>
    </row>
    <row r="26">
      <c r="A26" s="7">
        <f>Raw_Data!A26</f>
        <v/>
      </c>
      <c r="B26" s="8">
        <f>Raw_Data!B26</f>
        <v/>
      </c>
      <c r="C26" s="8">
        <f>Raw_Data!C26</f>
        <v/>
      </c>
      <c r="D26" s="7">
        <f>Raw_Data!D26</f>
        <v/>
      </c>
      <c r="E26" s="7">
        <f>Raw_Data!E26</f>
        <v/>
      </c>
      <c r="F26" s="8">
        <f>Raw_Data!F26</f>
        <v/>
      </c>
      <c r="G26" s="8">
        <f>Raw_Data!G26</f>
        <v/>
      </c>
      <c r="H26" s="7">
        <f>Raw_Data!H26</f>
        <v/>
      </c>
      <c r="I26" s="7">
        <f>Raw_Data!I26</f>
        <v/>
      </c>
      <c r="J26" s="8">
        <f>Raw_Data!J26</f>
        <v/>
      </c>
      <c r="K26" s="8">
        <f>Raw_Data!K26</f>
        <v/>
      </c>
      <c r="L26" s="8">
        <f>Raw_Data!L26</f>
        <v/>
      </c>
      <c r="M26" s="7">
        <f>Raw_Data!M26</f>
        <v/>
      </c>
      <c r="N26" s="7">
        <f>Raw_Data!N26</f>
        <v/>
      </c>
      <c r="O26" s="7">
        <f>Raw_Data!O26</f>
        <v/>
      </c>
      <c r="P26" s="8">
        <f>Raw_Data!P26</f>
        <v/>
      </c>
      <c r="R26" s="9">
        <f>IFERROR(Cleaned_Data!M26/Cleaned_Data!K26,0)</f>
        <v/>
      </c>
    </row>
    <row r="27">
      <c r="A27" s="10">
        <f>Raw_Data!A27</f>
        <v/>
      </c>
      <c r="B27" s="11">
        <f>Raw_Data!B27</f>
        <v/>
      </c>
      <c r="C27" s="11">
        <f>Raw_Data!C27</f>
        <v/>
      </c>
      <c r="D27" s="10">
        <f>Raw_Data!D27</f>
        <v/>
      </c>
      <c r="E27" s="10">
        <f>Raw_Data!E27</f>
        <v/>
      </c>
      <c r="F27" s="11">
        <f>Raw_Data!F27</f>
        <v/>
      </c>
      <c r="G27" s="11">
        <f>Raw_Data!G27</f>
        <v/>
      </c>
      <c r="H27" s="10">
        <f>Raw_Data!H27</f>
        <v/>
      </c>
      <c r="I27" s="10">
        <f>Raw_Data!I27</f>
        <v/>
      </c>
      <c r="J27" s="11">
        <f>Raw_Data!J27</f>
        <v/>
      </c>
      <c r="K27" s="11">
        <f>Raw_Data!K27</f>
        <v/>
      </c>
      <c r="L27" s="11">
        <f>Raw_Data!L27</f>
        <v/>
      </c>
      <c r="M27" s="10">
        <f>Raw_Data!M27</f>
        <v/>
      </c>
      <c r="N27" s="10">
        <f>Raw_Data!N27</f>
        <v/>
      </c>
      <c r="O27" s="10">
        <f>Raw_Data!O27</f>
        <v/>
      </c>
      <c r="P27" s="11">
        <f>Raw_Data!P27</f>
        <v/>
      </c>
      <c r="R27" s="9">
        <f>IFERROR(Cleaned_Data!M27/Cleaned_Data!K27,0)</f>
        <v/>
      </c>
    </row>
    <row r="28">
      <c r="A28" s="7">
        <f>Raw_Data!A28</f>
        <v/>
      </c>
      <c r="B28" s="8">
        <f>Raw_Data!B28</f>
        <v/>
      </c>
      <c r="C28" s="8">
        <f>Raw_Data!C28</f>
        <v/>
      </c>
      <c r="D28" s="7">
        <f>Raw_Data!D28</f>
        <v/>
      </c>
      <c r="E28" s="7">
        <f>Raw_Data!E28</f>
        <v/>
      </c>
      <c r="F28" s="8">
        <f>Raw_Data!F28</f>
        <v/>
      </c>
      <c r="G28" s="8">
        <f>Raw_Data!G28</f>
        <v/>
      </c>
      <c r="H28" s="7">
        <f>Raw_Data!H28</f>
        <v/>
      </c>
      <c r="I28" s="7">
        <f>Raw_Data!I28</f>
        <v/>
      </c>
      <c r="J28" s="8">
        <f>Raw_Data!J28</f>
        <v/>
      </c>
      <c r="K28" s="8">
        <f>Raw_Data!K28</f>
        <v/>
      </c>
      <c r="L28" s="8">
        <f>Raw_Data!L28</f>
        <v/>
      </c>
      <c r="M28" s="7">
        <f>Raw_Data!M28</f>
        <v/>
      </c>
      <c r="N28" s="7">
        <f>Raw_Data!N28</f>
        <v/>
      </c>
      <c r="O28" s="7">
        <f>Raw_Data!O28</f>
        <v/>
      </c>
      <c r="P28" s="8">
        <f>Raw_Data!P28</f>
        <v/>
      </c>
      <c r="R28" s="9">
        <f>IFERROR(Cleaned_Data!M28/Cleaned_Data!K28,0)</f>
        <v/>
      </c>
    </row>
    <row r="29">
      <c r="A29" s="10">
        <f>Raw_Data!A29</f>
        <v/>
      </c>
      <c r="B29" s="11">
        <f>Raw_Data!B29</f>
        <v/>
      </c>
      <c r="C29" s="11">
        <f>Raw_Data!C29</f>
        <v/>
      </c>
      <c r="D29" s="10">
        <f>Raw_Data!D29</f>
        <v/>
      </c>
      <c r="E29" s="10">
        <f>Raw_Data!E29</f>
        <v/>
      </c>
      <c r="F29" s="11">
        <f>Raw_Data!F29</f>
        <v/>
      </c>
      <c r="G29" s="11">
        <f>Raw_Data!G29</f>
        <v/>
      </c>
      <c r="H29" s="10">
        <f>Raw_Data!H29</f>
        <v/>
      </c>
      <c r="I29" s="10">
        <f>Raw_Data!I29</f>
        <v/>
      </c>
      <c r="J29" s="11">
        <f>Raw_Data!J29</f>
        <v/>
      </c>
      <c r="K29" s="11">
        <f>Raw_Data!K29</f>
        <v/>
      </c>
      <c r="L29" s="11">
        <f>Raw_Data!L29</f>
        <v/>
      </c>
      <c r="M29" s="10">
        <f>Raw_Data!M29</f>
        <v/>
      </c>
      <c r="N29" s="10">
        <f>Raw_Data!N29</f>
        <v/>
      </c>
      <c r="O29" s="10">
        <f>Raw_Data!O29</f>
        <v/>
      </c>
      <c r="P29" s="11">
        <f>Raw_Data!P29</f>
        <v/>
      </c>
      <c r="R29" s="9">
        <f>IFERROR(Cleaned_Data!M29/Cleaned_Data!K29,0)</f>
        <v/>
      </c>
    </row>
    <row r="30">
      <c r="A30" s="7">
        <f>Raw_Data!A30</f>
        <v/>
      </c>
      <c r="B30" s="8">
        <f>Raw_Data!B30</f>
        <v/>
      </c>
      <c r="C30" s="8">
        <f>Raw_Data!C30</f>
        <v/>
      </c>
      <c r="D30" s="7">
        <f>Raw_Data!D30</f>
        <v/>
      </c>
      <c r="E30" s="7">
        <f>Raw_Data!E30</f>
        <v/>
      </c>
      <c r="F30" s="8">
        <f>Raw_Data!F30</f>
        <v/>
      </c>
      <c r="G30" s="8">
        <f>Raw_Data!G30</f>
        <v/>
      </c>
      <c r="H30" s="7">
        <f>Raw_Data!H30</f>
        <v/>
      </c>
      <c r="I30" s="7">
        <f>Raw_Data!I30</f>
        <v/>
      </c>
      <c r="J30" s="8">
        <f>Raw_Data!J30</f>
        <v/>
      </c>
      <c r="K30" s="8">
        <f>Raw_Data!K30</f>
        <v/>
      </c>
      <c r="L30" s="8">
        <f>Raw_Data!L30</f>
        <v/>
      </c>
      <c r="M30" s="7">
        <f>Raw_Data!M30</f>
        <v/>
      </c>
      <c r="N30" s="7">
        <f>Raw_Data!N30</f>
        <v/>
      </c>
      <c r="O30" s="7">
        <f>Raw_Data!O30</f>
        <v/>
      </c>
      <c r="P30" s="8">
        <f>Raw_Data!P30</f>
        <v/>
      </c>
      <c r="R30" s="9">
        <f>IFERROR(Cleaned_Data!M30/Cleaned_Data!K30,0)</f>
        <v/>
      </c>
    </row>
    <row r="31">
      <c r="A31" s="10">
        <f>Raw_Data!A31</f>
        <v/>
      </c>
      <c r="B31" s="11">
        <f>Raw_Data!B31</f>
        <v/>
      </c>
      <c r="C31" s="11">
        <f>Raw_Data!C31</f>
        <v/>
      </c>
      <c r="D31" s="10">
        <f>Raw_Data!D31</f>
        <v/>
      </c>
      <c r="E31" s="10">
        <f>Raw_Data!E31</f>
        <v/>
      </c>
      <c r="F31" s="11">
        <f>Raw_Data!F31</f>
        <v/>
      </c>
      <c r="G31" s="11">
        <f>Raw_Data!G31</f>
        <v/>
      </c>
      <c r="H31" s="10">
        <f>Raw_Data!H31</f>
        <v/>
      </c>
      <c r="I31" s="10">
        <f>Raw_Data!I31</f>
        <v/>
      </c>
      <c r="J31" s="11">
        <f>Raw_Data!J31</f>
        <v/>
      </c>
      <c r="K31" s="11">
        <f>Raw_Data!K31</f>
        <v/>
      </c>
      <c r="L31" s="11">
        <f>Raw_Data!L31</f>
        <v/>
      </c>
      <c r="M31" s="10">
        <f>Raw_Data!M31</f>
        <v/>
      </c>
      <c r="N31" s="10">
        <f>Raw_Data!N31</f>
        <v/>
      </c>
      <c r="O31" s="10">
        <f>Raw_Data!O31</f>
        <v/>
      </c>
      <c r="P31" s="11">
        <f>Raw_Data!P31</f>
        <v/>
      </c>
      <c r="R31" s="9">
        <f>IFERROR(Cleaned_Data!M31/Cleaned_Data!K31,0)</f>
        <v/>
      </c>
    </row>
    <row r="32">
      <c r="A32" s="7">
        <f>Raw_Data!A32</f>
        <v/>
      </c>
      <c r="B32" s="8">
        <f>Raw_Data!B32</f>
        <v/>
      </c>
      <c r="C32" s="8">
        <f>Raw_Data!C32</f>
        <v/>
      </c>
      <c r="D32" s="7">
        <f>Raw_Data!D32</f>
        <v/>
      </c>
      <c r="E32" s="7">
        <f>Raw_Data!E32</f>
        <v/>
      </c>
      <c r="F32" s="8">
        <f>Raw_Data!F32</f>
        <v/>
      </c>
      <c r="G32" s="8">
        <f>Raw_Data!G32</f>
        <v/>
      </c>
      <c r="H32" s="7">
        <f>Raw_Data!H32</f>
        <v/>
      </c>
      <c r="I32" s="7">
        <f>Raw_Data!I32</f>
        <v/>
      </c>
      <c r="J32" s="8">
        <f>Raw_Data!J32</f>
        <v/>
      </c>
      <c r="K32" s="8">
        <f>Raw_Data!K32</f>
        <v/>
      </c>
      <c r="L32" s="8">
        <f>Raw_Data!L32</f>
        <v/>
      </c>
      <c r="M32" s="7">
        <f>Raw_Data!M32</f>
        <v/>
      </c>
      <c r="N32" s="7">
        <f>Raw_Data!N32</f>
        <v/>
      </c>
      <c r="O32" s="7">
        <f>Raw_Data!O32</f>
        <v/>
      </c>
      <c r="P32" s="8">
        <f>Raw_Data!P32</f>
        <v/>
      </c>
      <c r="R32" s="9">
        <f>IFERROR(Cleaned_Data!M32/Cleaned_Data!K32,0)</f>
        <v/>
      </c>
    </row>
    <row r="33">
      <c r="A33" s="10">
        <f>Raw_Data!A33</f>
        <v/>
      </c>
      <c r="B33" s="11">
        <f>Raw_Data!B33</f>
        <v/>
      </c>
      <c r="C33" s="11">
        <f>Raw_Data!C33</f>
        <v/>
      </c>
      <c r="D33" s="10">
        <f>Raw_Data!D33</f>
        <v/>
      </c>
      <c r="E33" s="10">
        <f>Raw_Data!E33</f>
        <v/>
      </c>
      <c r="F33" s="11">
        <f>Raw_Data!F33</f>
        <v/>
      </c>
      <c r="G33" s="11">
        <f>Raw_Data!G33</f>
        <v/>
      </c>
      <c r="H33" s="10">
        <f>Raw_Data!H33</f>
        <v/>
      </c>
      <c r="I33" s="10">
        <f>Raw_Data!I33</f>
        <v/>
      </c>
      <c r="J33" s="11">
        <f>Raw_Data!J33</f>
        <v/>
      </c>
      <c r="K33" s="11">
        <f>Raw_Data!K33</f>
        <v/>
      </c>
      <c r="L33" s="11">
        <f>Raw_Data!L33</f>
        <v/>
      </c>
      <c r="M33" s="10">
        <f>Raw_Data!M33</f>
        <v/>
      </c>
      <c r="N33" s="10">
        <f>Raw_Data!N33</f>
        <v/>
      </c>
      <c r="O33" s="10">
        <f>Raw_Data!O33</f>
        <v/>
      </c>
      <c r="P33" s="11">
        <f>Raw_Data!P33</f>
        <v/>
      </c>
      <c r="R33" s="9">
        <f>IFERROR(Cleaned_Data!M33/Cleaned_Data!K33,0)</f>
        <v/>
      </c>
    </row>
    <row r="34">
      <c r="A34" s="7">
        <f>Raw_Data!A34</f>
        <v/>
      </c>
      <c r="B34" s="8">
        <f>Raw_Data!B34</f>
        <v/>
      </c>
      <c r="C34" s="8">
        <f>Raw_Data!C34</f>
        <v/>
      </c>
      <c r="D34" s="7">
        <f>Raw_Data!D34</f>
        <v/>
      </c>
      <c r="E34" s="7">
        <f>Raw_Data!E34</f>
        <v/>
      </c>
      <c r="F34" s="8">
        <f>Raw_Data!F34</f>
        <v/>
      </c>
      <c r="G34" s="8">
        <f>Raw_Data!G34</f>
        <v/>
      </c>
      <c r="H34" s="7">
        <f>Raw_Data!H34</f>
        <v/>
      </c>
      <c r="I34" s="7">
        <f>Raw_Data!I34</f>
        <v/>
      </c>
      <c r="J34" s="8">
        <f>Raw_Data!J34</f>
        <v/>
      </c>
      <c r="K34" s="8">
        <f>Raw_Data!K34</f>
        <v/>
      </c>
      <c r="L34" s="8">
        <f>Raw_Data!L34</f>
        <v/>
      </c>
      <c r="M34" s="7">
        <f>Raw_Data!M34</f>
        <v/>
      </c>
      <c r="N34" s="7">
        <f>Raw_Data!N34</f>
        <v/>
      </c>
      <c r="O34" s="7">
        <f>Raw_Data!O34</f>
        <v/>
      </c>
      <c r="P34" s="8">
        <f>Raw_Data!P34</f>
        <v/>
      </c>
      <c r="R34" s="9">
        <f>IFERROR(Cleaned_Data!M34/Cleaned_Data!K34,0)</f>
        <v/>
      </c>
    </row>
    <row r="35">
      <c r="A35" s="10">
        <f>Raw_Data!A35</f>
        <v/>
      </c>
      <c r="B35" s="11">
        <f>Raw_Data!B35</f>
        <v/>
      </c>
      <c r="C35" s="11">
        <f>Raw_Data!C35</f>
        <v/>
      </c>
      <c r="D35" s="10">
        <f>Raw_Data!D35</f>
        <v/>
      </c>
      <c r="E35" s="10">
        <f>Raw_Data!E35</f>
        <v/>
      </c>
      <c r="F35" s="11">
        <f>Raw_Data!F35</f>
        <v/>
      </c>
      <c r="G35" s="11">
        <f>Raw_Data!G35</f>
        <v/>
      </c>
      <c r="H35" s="10">
        <f>Raw_Data!H35</f>
        <v/>
      </c>
      <c r="I35" s="10">
        <f>Raw_Data!I35</f>
        <v/>
      </c>
      <c r="J35" s="11">
        <f>Raw_Data!J35</f>
        <v/>
      </c>
      <c r="K35" s="11">
        <f>Raw_Data!K35</f>
        <v/>
      </c>
      <c r="L35" s="11">
        <f>Raw_Data!L35</f>
        <v/>
      </c>
      <c r="M35" s="10">
        <f>Raw_Data!M35</f>
        <v/>
      </c>
      <c r="N35" s="10">
        <f>Raw_Data!N35</f>
        <v/>
      </c>
      <c r="O35" s="10">
        <f>Raw_Data!O35</f>
        <v/>
      </c>
      <c r="P35" s="11">
        <f>Raw_Data!P35</f>
        <v/>
      </c>
      <c r="R35" s="9">
        <f>IFERROR(Cleaned_Data!M35/Cleaned_Data!K35,0)</f>
        <v/>
      </c>
    </row>
    <row r="36">
      <c r="A36" s="7">
        <f>Raw_Data!A36</f>
        <v/>
      </c>
      <c r="B36" s="8">
        <f>Raw_Data!B36</f>
        <v/>
      </c>
      <c r="C36" s="8">
        <f>Raw_Data!C36</f>
        <v/>
      </c>
      <c r="D36" s="7">
        <f>Raw_Data!D36</f>
        <v/>
      </c>
      <c r="E36" s="7">
        <f>Raw_Data!E36</f>
        <v/>
      </c>
      <c r="F36" s="8">
        <f>Raw_Data!F36</f>
        <v/>
      </c>
      <c r="G36" s="8">
        <f>Raw_Data!G36</f>
        <v/>
      </c>
      <c r="H36" s="7">
        <f>Raw_Data!H36</f>
        <v/>
      </c>
      <c r="I36" s="7">
        <f>Raw_Data!I36</f>
        <v/>
      </c>
      <c r="J36" s="8">
        <f>Raw_Data!J36</f>
        <v/>
      </c>
      <c r="K36" s="8">
        <f>Raw_Data!K36</f>
        <v/>
      </c>
      <c r="L36" s="8">
        <f>Raw_Data!L36</f>
        <v/>
      </c>
      <c r="M36" s="7">
        <f>Raw_Data!M36</f>
        <v/>
      </c>
      <c r="N36" s="7">
        <f>Raw_Data!N36</f>
        <v/>
      </c>
      <c r="O36" s="7">
        <f>Raw_Data!O36</f>
        <v/>
      </c>
      <c r="P36" s="8">
        <f>Raw_Data!P36</f>
        <v/>
      </c>
      <c r="R36" s="9">
        <f>IFERROR(Cleaned_Data!M36/Cleaned_Data!K36,0)</f>
        <v/>
      </c>
    </row>
    <row r="37">
      <c r="A37" s="10">
        <f>Raw_Data!A37</f>
        <v/>
      </c>
      <c r="B37" s="11">
        <f>Raw_Data!B37</f>
        <v/>
      </c>
      <c r="C37" s="11">
        <f>Raw_Data!C37</f>
        <v/>
      </c>
      <c r="D37" s="10">
        <f>Raw_Data!D37</f>
        <v/>
      </c>
      <c r="E37" s="10">
        <f>Raw_Data!E37</f>
        <v/>
      </c>
      <c r="F37" s="11">
        <f>Raw_Data!F37</f>
        <v/>
      </c>
      <c r="G37" s="11">
        <f>Raw_Data!G37</f>
        <v/>
      </c>
      <c r="H37" s="10">
        <f>Raw_Data!H37</f>
        <v/>
      </c>
      <c r="I37" s="10">
        <f>Raw_Data!I37</f>
        <v/>
      </c>
      <c r="J37" s="11">
        <f>Raw_Data!J37</f>
        <v/>
      </c>
      <c r="K37" s="11">
        <f>Raw_Data!K37</f>
        <v/>
      </c>
      <c r="L37" s="11">
        <f>Raw_Data!L37</f>
        <v/>
      </c>
      <c r="M37" s="10">
        <f>Raw_Data!M37</f>
        <v/>
      </c>
      <c r="N37" s="10">
        <f>Raw_Data!N37</f>
        <v/>
      </c>
      <c r="O37" s="10">
        <f>Raw_Data!O37</f>
        <v/>
      </c>
      <c r="P37" s="11">
        <f>Raw_Data!P37</f>
        <v/>
      </c>
      <c r="R37" s="9">
        <f>IFERROR(Cleaned_Data!M37/Cleaned_Data!K37,0)</f>
        <v/>
      </c>
    </row>
    <row r="38">
      <c r="A38" s="7">
        <f>Raw_Data!A38</f>
        <v/>
      </c>
      <c r="B38" s="8">
        <f>Raw_Data!B38</f>
        <v/>
      </c>
      <c r="C38" s="8">
        <f>Raw_Data!C38</f>
        <v/>
      </c>
      <c r="D38" s="7">
        <f>Raw_Data!D38</f>
        <v/>
      </c>
      <c r="E38" s="7">
        <f>Raw_Data!E38</f>
        <v/>
      </c>
      <c r="F38" s="8">
        <f>Raw_Data!F38</f>
        <v/>
      </c>
      <c r="G38" s="8">
        <f>Raw_Data!G38</f>
        <v/>
      </c>
      <c r="H38" s="7">
        <f>Raw_Data!H38</f>
        <v/>
      </c>
      <c r="I38" s="7">
        <f>Raw_Data!I38</f>
        <v/>
      </c>
      <c r="J38" s="8">
        <f>Raw_Data!J38</f>
        <v/>
      </c>
      <c r="K38" s="8">
        <f>Raw_Data!K38</f>
        <v/>
      </c>
      <c r="L38" s="8">
        <f>Raw_Data!L38</f>
        <v/>
      </c>
      <c r="M38" s="7">
        <f>Raw_Data!M38</f>
        <v/>
      </c>
      <c r="N38" s="7">
        <f>Raw_Data!N38</f>
        <v/>
      </c>
      <c r="O38" s="7">
        <f>Raw_Data!O38</f>
        <v/>
      </c>
      <c r="P38" s="8">
        <f>Raw_Data!P38</f>
        <v/>
      </c>
      <c r="R38" s="9">
        <f>IFERROR(Cleaned_Data!M38/Cleaned_Data!K38,0)</f>
        <v/>
      </c>
    </row>
    <row r="39">
      <c r="A39" s="10">
        <f>Raw_Data!A39</f>
        <v/>
      </c>
      <c r="B39" s="11">
        <f>Raw_Data!B39</f>
        <v/>
      </c>
      <c r="C39" s="11">
        <f>Raw_Data!C39</f>
        <v/>
      </c>
      <c r="D39" s="10">
        <f>Raw_Data!D39</f>
        <v/>
      </c>
      <c r="E39" s="10">
        <f>Raw_Data!E39</f>
        <v/>
      </c>
      <c r="F39" s="11">
        <f>Raw_Data!F39</f>
        <v/>
      </c>
      <c r="G39" s="11">
        <f>Raw_Data!G39</f>
        <v/>
      </c>
      <c r="H39" s="10">
        <f>Raw_Data!H39</f>
        <v/>
      </c>
      <c r="I39" s="10">
        <f>Raw_Data!I39</f>
        <v/>
      </c>
      <c r="J39" s="11">
        <f>Raw_Data!J39</f>
        <v/>
      </c>
      <c r="K39" s="11">
        <f>Raw_Data!K39</f>
        <v/>
      </c>
      <c r="L39" s="11">
        <f>Raw_Data!L39</f>
        <v/>
      </c>
      <c r="M39" s="10">
        <f>Raw_Data!M39</f>
        <v/>
      </c>
      <c r="N39" s="10">
        <f>Raw_Data!N39</f>
        <v/>
      </c>
      <c r="O39" s="10">
        <f>Raw_Data!O39</f>
        <v/>
      </c>
      <c r="P39" s="11">
        <f>Raw_Data!P39</f>
        <v/>
      </c>
      <c r="R39" s="9">
        <f>IFERROR(Cleaned_Data!M39/Cleaned_Data!K39,0)</f>
        <v/>
      </c>
    </row>
    <row r="40">
      <c r="A40" s="7">
        <f>Raw_Data!A40</f>
        <v/>
      </c>
      <c r="B40" s="8">
        <f>Raw_Data!B40</f>
        <v/>
      </c>
      <c r="C40" s="8">
        <f>Raw_Data!C40</f>
        <v/>
      </c>
      <c r="D40" s="7">
        <f>Raw_Data!D40</f>
        <v/>
      </c>
      <c r="E40" s="7">
        <f>Raw_Data!E40</f>
        <v/>
      </c>
      <c r="F40" s="8">
        <f>Raw_Data!F40</f>
        <v/>
      </c>
      <c r="G40" s="8">
        <f>Raw_Data!G40</f>
        <v/>
      </c>
      <c r="H40" s="7">
        <f>Raw_Data!H40</f>
        <v/>
      </c>
      <c r="I40" s="7">
        <f>Raw_Data!I40</f>
        <v/>
      </c>
      <c r="J40" s="8">
        <f>Raw_Data!J40</f>
        <v/>
      </c>
      <c r="K40" s="8">
        <f>Raw_Data!K40</f>
        <v/>
      </c>
      <c r="L40" s="8">
        <f>Raw_Data!L40</f>
        <v/>
      </c>
      <c r="M40" s="7">
        <f>Raw_Data!M40</f>
        <v/>
      </c>
      <c r="N40" s="7">
        <f>Raw_Data!N40</f>
        <v/>
      </c>
      <c r="O40" s="7">
        <f>Raw_Data!O40</f>
        <v/>
      </c>
      <c r="P40" s="8">
        <f>Raw_Data!P40</f>
        <v/>
      </c>
      <c r="R40" s="9">
        <f>IFERROR(Cleaned_Data!M40/Cleaned_Data!K40,0)</f>
        <v/>
      </c>
    </row>
    <row r="41">
      <c r="A41" s="10">
        <f>Raw_Data!A41</f>
        <v/>
      </c>
      <c r="B41" s="11">
        <f>Raw_Data!B41</f>
        <v/>
      </c>
      <c r="C41" s="11">
        <f>Raw_Data!C41</f>
        <v/>
      </c>
      <c r="D41" s="10">
        <f>Raw_Data!D41</f>
        <v/>
      </c>
      <c r="E41" s="10">
        <f>Raw_Data!E41</f>
        <v/>
      </c>
      <c r="F41" s="11">
        <f>Raw_Data!F41</f>
        <v/>
      </c>
      <c r="G41" s="11">
        <f>Raw_Data!G41</f>
        <v/>
      </c>
      <c r="H41" s="10">
        <f>Raw_Data!H41</f>
        <v/>
      </c>
      <c r="I41" s="10">
        <f>Raw_Data!I41</f>
        <v/>
      </c>
      <c r="J41" s="11">
        <f>Raw_Data!J41</f>
        <v/>
      </c>
      <c r="K41" s="11">
        <f>Raw_Data!K41</f>
        <v/>
      </c>
      <c r="L41" s="11">
        <f>Raw_Data!L41</f>
        <v/>
      </c>
      <c r="M41" s="10">
        <f>Raw_Data!M41</f>
        <v/>
      </c>
      <c r="N41" s="10">
        <f>Raw_Data!N41</f>
        <v/>
      </c>
      <c r="O41" s="10">
        <f>Raw_Data!O41</f>
        <v/>
      </c>
      <c r="P41" s="11">
        <f>Raw_Data!P41</f>
        <v/>
      </c>
      <c r="R41" s="9">
        <f>IFERROR(Cleaned_Data!M41/Cleaned_Data!K41,0)</f>
        <v/>
      </c>
    </row>
    <row r="42">
      <c r="A42" s="7">
        <f>Raw_Data!A42</f>
        <v/>
      </c>
      <c r="B42" s="8">
        <f>Raw_Data!B42</f>
        <v/>
      </c>
      <c r="C42" s="8">
        <f>Raw_Data!C42</f>
        <v/>
      </c>
      <c r="D42" s="7">
        <f>Raw_Data!D42</f>
        <v/>
      </c>
      <c r="E42" s="7">
        <f>Raw_Data!E42</f>
        <v/>
      </c>
      <c r="F42" s="8">
        <f>Raw_Data!F42</f>
        <v/>
      </c>
      <c r="G42" s="8">
        <f>Raw_Data!G42</f>
        <v/>
      </c>
      <c r="H42" s="7">
        <f>Raw_Data!H42</f>
        <v/>
      </c>
      <c r="I42" s="7">
        <f>Raw_Data!I42</f>
        <v/>
      </c>
      <c r="J42" s="8">
        <f>Raw_Data!J42</f>
        <v/>
      </c>
      <c r="K42" s="8">
        <f>Raw_Data!K42</f>
        <v/>
      </c>
      <c r="L42" s="8">
        <f>Raw_Data!L42</f>
        <v/>
      </c>
      <c r="M42" s="7">
        <f>Raw_Data!M42</f>
        <v/>
      </c>
      <c r="N42" s="7">
        <f>Raw_Data!N42</f>
        <v/>
      </c>
      <c r="O42" s="7">
        <f>Raw_Data!O42</f>
        <v/>
      </c>
      <c r="P42" s="8">
        <f>Raw_Data!P42</f>
        <v/>
      </c>
      <c r="R42" s="9">
        <f>IFERROR(Cleaned_Data!M42/Cleaned_Data!K42,0)</f>
        <v/>
      </c>
    </row>
    <row r="43">
      <c r="A43" s="10">
        <f>Raw_Data!A43</f>
        <v/>
      </c>
      <c r="B43" s="11">
        <f>Raw_Data!B43</f>
        <v/>
      </c>
      <c r="C43" s="11">
        <f>Raw_Data!C43</f>
        <v/>
      </c>
      <c r="D43" s="10">
        <f>Raw_Data!D43</f>
        <v/>
      </c>
      <c r="E43" s="10">
        <f>Raw_Data!E43</f>
        <v/>
      </c>
      <c r="F43" s="11">
        <f>Raw_Data!F43</f>
        <v/>
      </c>
      <c r="G43" s="11">
        <f>Raw_Data!G43</f>
        <v/>
      </c>
      <c r="H43" s="10">
        <f>Raw_Data!H43</f>
        <v/>
      </c>
      <c r="I43" s="10">
        <f>Raw_Data!I43</f>
        <v/>
      </c>
      <c r="J43" s="11">
        <f>Raw_Data!J43</f>
        <v/>
      </c>
      <c r="K43" s="11">
        <f>Raw_Data!K43</f>
        <v/>
      </c>
      <c r="L43" s="11">
        <f>Raw_Data!L43</f>
        <v/>
      </c>
      <c r="M43" s="10">
        <f>Raw_Data!M43</f>
        <v/>
      </c>
      <c r="N43" s="10">
        <f>Raw_Data!N43</f>
        <v/>
      </c>
      <c r="O43" s="10">
        <f>Raw_Data!O43</f>
        <v/>
      </c>
      <c r="P43" s="11">
        <f>Raw_Data!P43</f>
        <v/>
      </c>
      <c r="R43" s="9">
        <f>IFERROR(Cleaned_Data!M43/Cleaned_Data!K43,0)</f>
        <v/>
      </c>
    </row>
    <row r="44">
      <c r="A44" s="7">
        <f>Raw_Data!A44</f>
        <v/>
      </c>
      <c r="B44" s="8">
        <f>Raw_Data!B44</f>
        <v/>
      </c>
      <c r="C44" s="8">
        <f>Raw_Data!C44</f>
        <v/>
      </c>
      <c r="D44" s="7">
        <f>Raw_Data!D44</f>
        <v/>
      </c>
      <c r="E44" s="7">
        <f>Raw_Data!E44</f>
        <v/>
      </c>
      <c r="F44" s="8">
        <f>Raw_Data!F44</f>
        <v/>
      </c>
      <c r="G44" s="8">
        <f>Raw_Data!G44</f>
        <v/>
      </c>
      <c r="H44" s="7">
        <f>Raw_Data!H44</f>
        <v/>
      </c>
      <c r="I44" s="7">
        <f>Raw_Data!I44</f>
        <v/>
      </c>
      <c r="J44" s="8">
        <f>Raw_Data!J44</f>
        <v/>
      </c>
      <c r="K44" s="8">
        <f>Raw_Data!K44</f>
        <v/>
      </c>
      <c r="L44" s="8">
        <f>Raw_Data!L44</f>
        <v/>
      </c>
      <c r="M44" s="7">
        <f>Raw_Data!M44</f>
        <v/>
      </c>
      <c r="N44" s="7">
        <f>Raw_Data!N44</f>
        <v/>
      </c>
      <c r="O44" s="7">
        <f>Raw_Data!O44</f>
        <v/>
      </c>
      <c r="P44" s="8">
        <f>Raw_Data!P44</f>
        <v/>
      </c>
      <c r="R44" s="9">
        <f>IFERROR(Cleaned_Data!M44/Cleaned_Data!K44,0)</f>
        <v/>
      </c>
    </row>
    <row r="45">
      <c r="A45" s="10">
        <f>Raw_Data!A45</f>
        <v/>
      </c>
      <c r="B45" s="11">
        <f>Raw_Data!B45</f>
        <v/>
      </c>
      <c r="C45" s="11">
        <f>Raw_Data!C45</f>
        <v/>
      </c>
      <c r="D45" s="10">
        <f>Raw_Data!D45</f>
        <v/>
      </c>
      <c r="E45" s="10">
        <f>Raw_Data!E45</f>
        <v/>
      </c>
      <c r="F45" s="11">
        <f>Raw_Data!F45</f>
        <v/>
      </c>
      <c r="G45" s="11">
        <f>Raw_Data!G45</f>
        <v/>
      </c>
      <c r="H45" s="10">
        <f>Raw_Data!H45</f>
        <v/>
      </c>
      <c r="I45" s="10">
        <f>Raw_Data!I45</f>
        <v/>
      </c>
      <c r="J45" s="11">
        <f>Raw_Data!J45</f>
        <v/>
      </c>
      <c r="K45" s="11">
        <f>Raw_Data!K45</f>
        <v/>
      </c>
      <c r="L45" s="11">
        <f>Raw_Data!L45</f>
        <v/>
      </c>
      <c r="M45" s="10">
        <f>Raw_Data!M45</f>
        <v/>
      </c>
      <c r="N45" s="10">
        <f>Raw_Data!N45</f>
        <v/>
      </c>
      <c r="O45" s="10">
        <f>Raw_Data!O45</f>
        <v/>
      </c>
      <c r="P45" s="11">
        <f>Raw_Data!P45</f>
        <v/>
      </c>
      <c r="R45" s="9">
        <f>IFERROR(Cleaned_Data!M45/Cleaned_Data!K45,0)</f>
        <v/>
      </c>
    </row>
    <row r="46">
      <c r="A46" s="7">
        <f>Raw_Data!A46</f>
        <v/>
      </c>
      <c r="B46" s="8">
        <f>Raw_Data!B46</f>
        <v/>
      </c>
      <c r="C46" s="8">
        <f>Raw_Data!C46</f>
        <v/>
      </c>
      <c r="D46" s="7">
        <f>Raw_Data!D46</f>
        <v/>
      </c>
      <c r="E46" s="7">
        <f>Raw_Data!E46</f>
        <v/>
      </c>
      <c r="F46" s="8">
        <f>Raw_Data!F46</f>
        <v/>
      </c>
      <c r="G46" s="8">
        <f>Raw_Data!G46</f>
        <v/>
      </c>
      <c r="H46" s="7">
        <f>Raw_Data!H46</f>
        <v/>
      </c>
      <c r="I46" s="7">
        <f>Raw_Data!I46</f>
        <v/>
      </c>
      <c r="J46" s="8">
        <f>Raw_Data!J46</f>
        <v/>
      </c>
      <c r="K46" s="8">
        <f>Raw_Data!K46</f>
        <v/>
      </c>
      <c r="L46" s="8">
        <f>Raw_Data!L46</f>
        <v/>
      </c>
      <c r="M46" s="7">
        <f>Raw_Data!M46</f>
        <v/>
      </c>
      <c r="N46" s="7">
        <f>Raw_Data!N46</f>
        <v/>
      </c>
      <c r="O46" s="7">
        <f>Raw_Data!O46</f>
        <v/>
      </c>
      <c r="P46" s="8">
        <f>Raw_Data!P46</f>
        <v/>
      </c>
      <c r="R46" s="9">
        <f>IFERROR(Cleaned_Data!M46/Cleaned_Data!K46,0)</f>
        <v/>
      </c>
    </row>
    <row r="47">
      <c r="A47" s="10">
        <f>Raw_Data!A47</f>
        <v/>
      </c>
      <c r="B47" s="11">
        <f>Raw_Data!B47</f>
        <v/>
      </c>
      <c r="C47" s="11">
        <f>Raw_Data!C47</f>
        <v/>
      </c>
      <c r="D47" s="10">
        <f>Raw_Data!D47</f>
        <v/>
      </c>
      <c r="E47" s="10">
        <f>Raw_Data!E47</f>
        <v/>
      </c>
      <c r="F47" s="11">
        <f>Raw_Data!F47</f>
        <v/>
      </c>
      <c r="G47" s="11">
        <f>Raw_Data!G47</f>
        <v/>
      </c>
      <c r="H47" s="10">
        <f>Raw_Data!H47</f>
        <v/>
      </c>
      <c r="I47" s="10">
        <f>Raw_Data!I47</f>
        <v/>
      </c>
      <c r="J47" s="11">
        <f>Raw_Data!J47</f>
        <v/>
      </c>
      <c r="K47" s="11">
        <f>Raw_Data!K47</f>
        <v/>
      </c>
      <c r="L47" s="11">
        <f>Raw_Data!L47</f>
        <v/>
      </c>
      <c r="M47" s="10">
        <f>Raw_Data!M47</f>
        <v/>
      </c>
      <c r="N47" s="10">
        <f>Raw_Data!N47</f>
        <v/>
      </c>
      <c r="O47" s="10">
        <f>Raw_Data!O47</f>
        <v/>
      </c>
      <c r="P47" s="11">
        <f>Raw_Data!P47</f>
        <v/>
      </c>
      <c r="R47" s="9">
        <f>IFERROR(Cleaned_Data!M47/Cleaned_Data!K47,0)</f>
        <v/>
      </c>
    </row>
    <row r="48">
      <c r="A48" s="7">
        <f>Raw_Data!A48</f>
        <v/>
      </c>
      <c r="B48" s="8">
        <f>Raw_Data!B48</f>
        <v/>
      </c>
      <c r="C48" s="8">
        <f>Raw_Data!C48</f>
        <v/>
      </c>
      <c r="D48" s="7">
        <f>Raw_Data!D48</f>
        <v/>
      </c>
      <c r="E48" s="7">
        <f>Raw_Data!E48</f>
        <v/>
      </c>
      <c r="F48" s="8">
        <f>Raw_Data!F48</f>
        <v/>
      </c>
      <c r="G48" s="8">
        <f>Raw_Data!G48</f>
        <v/>
      </c>
      <c r="H48" s="7">
        <f>Raw_Data!H48</f>
        <v/>
      </c>
      <c r="I48" s="7">
        <f>Raw_Data!I48</f>
        <v/>
      </c>
      <c r="J48" s="8">
        <f>Raw_Data!J48</f>
        <v/>
      </c>
      <c r="K48" s="8">
        <f>Raw_Data!K48</f>
        <v/>
      </c>
      <c r="L48" s="8">
        <f>Raw_Data!L48</f>
        <v/>
      </c>
      <c r="M48" s="7">
        <f>Raw_Data!M48</f>
        <v/>
      </c>
      <c r="N48" s="7">
        <f>Raw_Data!N48</f>
        <v/>
      </c>
      <c r="O48" s="7">
        <f>Raw_Data!O48</f>
        <v/>
      </c>
      <c r="P48" s="8">
        <f>Raw_Data!P48</f>
        <v/>
      </c>
      <c r="R48" s="9">
        <f>IFERROR(Cleaned_Data!M48/Cleaned_Data!K48,0)</f>
        <v/>
      </c>
    </row>
    <row r="49">
      <c r="A49" s="10">
        <f>Raw_Data!A49</f>
        <v/>
      </c>
      <c r="B49" s="11">
        <f>Raw_Data!B49</f>
        <v/>
      </c>
      <c r="C49" s="11">
        <f>Raw_Data!C49</f>
        <v/>
      </c>
      <c r="D49" s="10">
        <f>Raw_Data!D49</f>
        <v/>
      </c>
      <c r="E49" s="10">
        <f>Raw_Data!E49</f>
        <v/>
      </c>
      <c r="F49" s="11">
        <f>Raw_Data!F49</f>
        <v/>
      </c>
      <c r="G49" s="11">
        <f>Raw_Data!G49</f>
        <v/>
      </c>
      <c r="H49" s="10">
        <f>Raw_Data!H49</f>
        <v/>
      </c>
      <c r="I49" s="10">
        <f>Raw_Data!I49</f>
        <v/>
      </c>
      <c r="J49" s="11">
        <f>Raw_Data!J49</f>
        <v/>
      </c>
      <c r="K49" s="11">
        <f>Raw_Data!K49</f>
        <v/>
      </c>
      <c r="L49" s="11">
        <f>Raw_Data!L49</f>
        <v/>
      </c>
      <c r="M49" s="10">
        <f>Raw_Data!M49</f>
        <v/>
      </c>
      <c r="N49" s="10">
        <f>Raw_Data!N49</f>
        <v/>
      </c>
      <c r="O49" s="10">
        <f>Raw_Data!O49</f>
        <v/>
      </c>
      <c r="P49" s="11">
        <f>Raw_Data!P49</f>
        <v/>
      </c>
      <c r="R49" s="9">
        <f>IFERROR(Cleaned_Data!M49/Cleaned_Data!K49,0)</f>
        <v/>
      </c>
    </row>
    <row r="50">
      <c r="A50" s="7">
        <f>Raw_Data!A50</f>
        <v/>
      </c>
      <c r="B50" s="8">
        <f>Raw_Data!B50</f>
        <v/>
      </c>
      <c r="C50" s="8">
        <f>Raw_Data!C50</f>
        <v/>
      </c>
      <c r="D50" s="7">
        <f>Raw_Data!D50</f>
        <v/>
      </c>
      <c r="E50" s="7">
        <f>Raw_Data!E50</f>
        <v/>
      </c>
      <c r="F50" s="8">
        <f>Raw_Data!F50</f>
        <v/>
      </c>
      <c r="G50" s="8">
        <f>Raw_Data!G50</f>
        <v/>
      </c>
      <c r="H50" s="7">
        <f>Raw_Data!H50</f>
        <v/>
      </c>
      <c r="I50" s="7">
        <f>Raw_Data!I50</f>
        <v/>
      </c>
      <c r="J50" s="8">
        <f>Raw_Data!J50</f>
        <v/>
      </c>
      <c r="K50" s="8">
        <f>Raw_Data!K50</f>
        <v/>
      </c>
      <c r="L50" s="8">
        <f>Raw_Data!L50</f>
        <v/>
      </c>
      <c r="M50" s="7">
        <f>Raw_Data!M50</f>
        <v/>
      </c>
      <c r="N50" s="7">
        <f>Raw_Data!N50</f>
        <v/>
      </c>
      <c r="O50" s="7">
        <f>Raw_Data!O50</f>
        <v/>
      </c>
      <c r="P50" s="8">
        <f>Raw_Data!P50</f>
        <v/>
      </c>
      <c r="R50" s="9">
        <f>IFERROR(Cleaned_Data!M50/Cleaned_Data!K50,0)</f>
        <v/>
      </c>
    </row>
    <row r="51">
      <c r="A51" s="10">
        <f>Raw_Data!A51</f>
        <v/>
      </c>
      <c r="B51" s="11">
        <f>Raw_Data!B51</f>
        <v/>
      </c>
      <c r="C51" s="11">
        <f>Raw_Data!C51</f>
        <v/>
      </c>
      <c r="D51" s="10">
        <f>Raw_Data!D51</f>
        <v/>
      </c>
      <c r="E51" s="10">
        <f>Raw_Data!E51</f>
        <v/>
      </c>
      <c r="F51" s="11">
        <f>Raw_Data!F51</f>
        <v/>
      </c>
      <c r="G51" s="11">
        <f>Raw_Data!G51</f>
        <v/>
      </c>
      <c r="H51" s="10">
        <f>Raw_Data!H51</f>
        <v/>
      </c>
      <c r="I51" s="10">
        <f>Raw_Data!I51</f>
        <v/>
      </c>
      <c r="J51" s="11">
        <f>Raw_Data!J51</f>
        <v/>
      </c>
      <c r="K51" s="11">
        <f>Raw_Data!K51</f>
        <v/>
      </c>
      <c r="L51" s="11">
        <f>Raw_Data!L51</f>
        <v/>
      </c>
      <c r="M51" s="10">
        <f>Raw_Data!M51</f>
        <v/>
      </c>
      <c r="N51" s="10">
        <f>Raw_Data!N51</f>
        <v/>
      </c>
      <c r="O51" s="10">
        <f>Raw_Data!O51</f>
        <v/>
      </c>
      <c r="P51" s="11">
        <f>Raw_Data!P51</f>
        <v/>
      </c>
      <c r="R51" s="9">
        <f>IFERROR(Cleaned_Data!M51/Cleaned_Data!K51,0)</f>
        <v/>
      </c>
    </row>
    <row r="52">
      <c r="A52" s="7">
        <f>Raw_Data!A52</f>
        <v/>
      </c>
      <c r="B52" s="8">
        <f>Raw_Data!B52</f>
        <v/>
      </c>
      <c r="C52" s="8">
        <f>Raw_Data!C52</f>
        <v/>
      </c>
      <c r="D52" s="7">
        <f>Raw_Data!D52</f>
        <v/>
      </c>
      <c r="E52" s="7">
        <f>Raw_Data!E52</f>
        <v/>
      </c>
      <c r="F52" s="8">
        <f>Raw_Data!F52</f>
        <v/>
      </c>
      <c r="G52" s="8">
        <f>Raw_Data!G52</f>
        <v/>
      </c>
      <c r="H52" s="7">
        <f>Raw_Data!H52</f>
        <v/>
      </c>
      <c r="I52" s="7">
        <f>Raw_Data!I52</f>
        <v/>
      </c>
      <c r="J52" s="8">
        <f>Raw_Data!J52</f>
        <v/>
      </c>
      <c r="K52" s="8">
        <f>Raw_Data!K52</f>
        <v/>
      </c>
      <c r="L52" s="8">
        <f>Raw_Data!L52</f>
        <v/>
      </c>
      <c r="M52" s="7">
        <f>Raw_Data!M52</f>
        <v/>
      </c>
      <c r="N52" s="7">
        <f>Raw_Data!N52</f>
        <v/>
      </c>
      <c r="O52" s="7">
        <f>Raw_Data!O52</f>
        <v/>
      </c>
      <c r="P52" s="8">
        <f>Raw_Data!P52</f>
        <v/>
      </c>
      <c r="R52" s="9">
        <f>IFERROR(Cleaned_Data!M52/Cleaned_Data!K52,0)</f>
        <v/>
      </c>
    </row>
    <row r="53">
      <c r="A53" s="10">
        <f>Raw_Data!A53</f>
        <v/>
      </c>
      <c r="B53" s="11">
        <f>Raw_Data!B53</f>
        <v/>
      </c>
      <c r="C53" s="11">
        <f>Raw_Data!C53</f>
        <v/>
      </c>
      <c r="D53" s="10">
        <f>Raw_Data!D53</f>
        <v/>
      </c>
      <c r="E53" s="10">
        <f>Raw_Data!E53</f>
        <v/>
      </c>
      <c r="F53" s="11">
        <f>Raw_Data!F53</f>
        <v/>
      </c>
      <c r="G53" s="11">
        <f>Raw_Data!G53</f>
        <v/>
      </c>
      <c r="H53" s="10">
        <f>Raw_Data!H53</f>
        <v/>
      </c>
      <c r="I53" s="10">
        <f>Raw_Data!I53</f>
        <v/>
      </c>
      <c r="J53" s="11">
        <f>Raw_Data!J53</f>
        <v/>
      </c>
      <c r="K53" s="11">
        <f>Raw_Data!K53</f>
        <v/>
      </c>
      <c r="L53" s="11">
        <f>Raw_Data!L53</f>
        <v/>
      </c>
      <c r="M53" s="10">
        <f>Raw_Data!M53</f>
        <v/>
      </c>
      <c r="N53" s="10">
        <f>Raw_Data!N53</f>
        <v/>
      </c>
      <c r="O53" s="10">
        <f>Raw_Data!O53</f>
        <v/>
      </c>
      <c r="P53" s="11">
        <f>Raw_Data!P53</f>
        <v/>
      </c>
      <c r="R53" s="9">
        <f>IFERROR(Cleaned_Data!M53/Cleaned_Data!K53,0)</f>
        <v/>
      </c>
    </row>
    <row r="54">
      <c r="A54" s="7">
        <f>Raw_Data!A54</f>
        <v/>
      </c>
      <c r="B54" s="8">
        <f>Raw_Data!B54</f>
        <v/>
      </c>
      <c r="C54" s="8">
        <f>Raw_Data!C54</f>
        <v/>
      </c>
      <c r="D54" s="7">
        <f>Raw_Data!D54</f>
        <v/>
      </c>
      <c r="E54" s="7">
        <f>Raw_Data!E54</f>
        <v/>
      </c>
      <c r="F54" s="8">
        <f>Raw_Data!F54</f>
        <v/>
      </c>
      <c r="G54" s="8">
        <f>Raw_Data!G54</f>
        <v/>
      </c>
      <c r="H54" s="7">
        <f>Raw_Data!H54</f>
        <v/>
      </c>
      <c r="I54" s="7">
        <f>Raw_Data!I54</f>
        <v/>
      </c>
      <c r="J54" s="8">
        <f>Raw_Data!J54</f>
        <v/>
      </c>
      <c r="K54" s="8">
        <f>Raw_Data!K54</f>
        <v/>
      </c>
      <c r="L54" s="8">
        <f>Raw_Data!L54</f>
        <v/>
      </c>
      <c r="M54" s="7">
        <f>Raw_Data!M54</f>
        <v/>
      </c>
      <c r="N54" s="7">
        <f>Raw_Data!N54</f>
        <v/>
      </c>
      <c r="O54" s="7">
        <f>Raw_Data!O54</f>
        <v/>
      </c>
      <c r="P54" s="8">
        <f>Raw_Data!P54</f>
        <v/>
      </c>
      <c r="R54" s="9">
        <f>IFERROR(Cleaned_Data!M54/Cleaned_Data!K54,0)</f>
        <v/>
      </c>
    </row>
    <row r="55">
      <c r="A55" s="10">
        <f>Raw_Data!A55</f>
        <v/>
      </c>
      <c r="B55" s="11">
        <f>Raw_Data!B55</f>
        <v/>
      </c>
      <c r="C55" s="11">
        <f>Raw_Data!C55</f>
        <v/>
      </c>
      <c r="D55" s="10">
        <f>Raw_Data!D55</f>
        <v/>
      </c>
      <c r="E55" s="10">
        <f>Raw_Data!E55</f>
        <v/>
      </c>
      <c r="F55" s="11">
        <f>Raw_Data!F55</f>
        <v/>
      </c>
      <c r="G55" s="11">
        <f>Raw_Data!G55</f>
        <v/>
      </c>
      <c r="H55" s="10">
        <f>Raw_Data!H55</f>
        <v/>
      </c>
      <c r="I55" s="10">
        <f>Raw_Data!I55</f>
        <v/>
      </c>
      <c r="J55" s="11">
        <f>Raw_Data!J55</f>
        <v/>
      </c>
      <c r="K55" s="11">
        <f>Raw_Data!K55</f>
        <v/>
      </c>
      <c r="L55" s="11">
        <f>Raw_Data!L55</f>
        <v/>
      </c>
      <c r="M55" s="10">
        <f>Raw_Data!M55</f>
        <v/>
      </c>
      <c r="N55" s="10">
        <f>Raw_Data!N55</f>
        <v/>
      </c>
      <c r="O55" s="10">
        <f>Raw_Data!O55</f>
        <v/>
      </c>
      <c r="P55" s="11">
        <f>Raw_Data!P55</f>
        <v/>
      </c>
      <c r="R55" s="9">
        <f>IFERROR(Cleaned_Data!M55/Cleaned_Data!K55,0)</f>
        <v/>
      </c>
    </row>
    <row r="56">
      <c r="A56" s="7">
        <f>Raw_Data!A56</f>
        <v/>
      </c>
      <c r="B56" s="8">
        <f>Raw_Data!B56</f>
        <v/>
      </c>
      <c r="C56" s="8">
        <f>Raw_Data!C56</f>
        <v/>
      </c>
      <c r="D56" s="7">
        <f>Raw_Data!D56</f>
        <v/>
      </c>
      <c r="E56" s="7">
        <f>Raw_Data!E56</f>
        <v/>
      </c>
      <c r="F56" s="8">
        <f>Raw_Data!F56</f>
        <v/>
      </c>
      <c r="G56" s="8">
        <f>Raw_Data!G56</f>
        <v/>
      </c>
      <c r="H56" s="7">
        <f>Raw_Data!H56</f>
        <v/>
      </c>
      <c r="I56" s="7">
        <f>Raw_Data!I56</f>
        <v/>
      </c>
      <c r="J56" s="8">
        <f>Raw_Data!J56</f>
        <v/>
      </c>
      <c r="K56" s="8">
        <f>Raw_Data!K56</f>
        <v/>
      </c>
      <c r="L56" s="8">
        <f>Raw_Data!L56</f>
        <v/>
      </c>
      <c r="M56" s="7">
        <f>Raw_Data!M56</f>
        <v/>
      </c>
      <c r="N56" s="7">
        <f>Raw_Data!N56</f>
        <v/>
      </c>
      <c r="O56" s="7">
        <f>Raw_Data!O56</f>
        <v/>
      </c>
      <c r="P56" s="8">
        <f>Raw_Data!P56</f>
        <v/>
      </c>
      <c r="R56" s="9">
        <f>IFERROR(Cleaned_Data!M56/Cleaned_Data!K56,0)</f>
        <v/>
      </c>
    </row>
    <row r="57">
      <c r="A57" s="10">
        <f>Raw_Data!A57</f>
        <v/>
      </c>
      <c r="B57" s="11">
        <f>Raw_Data!B57</f>
        <v/>
      </c>
      <c r="C57" s="11">
        <f>Raw_Data!C57</f>
        <v/>
      </c>
      <c r="D57" s="10">
        <f>Raw_Data!D57</f>
        <v/>
      </c>
      <c r="E57" s="10">
        <f>Raw_Data!E57</f>
        <v/>
      </c>
      <c r="F57" s="11">
        <f>Raw_Data!F57</f>
        <v/>
      </c>
      <c r="G57" s="11">
        <f>Raw_Data!G57</f>
        <v/>
      </c>
      <c r="H57" s="10">
        <f>Raw_Data!H57</f>
        <v/>
      </c>
      <c r="I57" s="10">
        <f>Raw_Data!I57</f>
        <v/>
      </c>
      <c r="J57" s="11">
        <f>Raw_Data!J57</f>
        <v/>
      </c>
      <c r="K57" s="11">
        <f>Raw_Data!K57</f>
        <v/>
      </c>
      <c r="L57" s="11">
        <f>Raw_Data!L57</f>
        <v/>
      </c>
      <c r="M57" s="10">
        <f>Raw_Data!M57</f>
        <v/>
      </c>
      <c r="N57" s="10">
        <f>Raw_Data!N57</f>
        <v/>
      </c>
      <c r="O57" s="10">
        <f>Raw_Data!O57</f>
        <v/>
      </c>
      <c r="P57" s="11">
        <f>Raw_Data!P57</f>
        <v/>
      </c>
      <c r="R57" s="9">
        <f>IFERROR(Cleaned_Data!M57/Cleaned_Data!K57,0)</f>
        <v/>
      </c>
    </row>
    <row r="58">
      <c r="A58" s="7">
        <f>Raw_Data!A58</f>
        <v/>
      </c>
      <c r="B58" s="8">
        <f>Raw_Data!B58</f>
        <v/>
      </c>
      <c r="C58" s="8">
        <f>Raw_Data!C58</f>
        <v/>
      </c>
      <c r="D58" s="7">
        <f>Raw_Data!D58</f>
        <v/>
      </c>
      <c r="E58" s="7">
        <f>Raw_Data!E58</f>
        <v/>
      </c>
      <c r="F58" s="8">
        <f>Raw_Data!F58</f>
        <v/>
      </c>
      <c r="G58" s="8">
        <f>Raw_Data!G58</f>
        <v/>
      </c>
      <c r="H58" s="7">
        <f>Raw_Data!H58</f>
        <v/>
      </c>
      <c r="I58" s="7">
        <f>Raw_Data!I58</f>
        <v/>
      </c>
      <c r="J58" s="8">
        <f>Raw_Data!J58</f>
        <v/>
      </c>
      <c r="K58" s="8">
        <f>Raw_Data!K58</f>
        <v/>
      </c>
      <c r="L58" s="8">
        <f>Raw_Data!L58</f>
        <v/>
      </c>
      <c r="M58" s="7">
        <f>Raw_Data!M58</f>
        <v/>
      </c>
      <c r="N58" s="7">
        <f>Raw_Data!N58</f>
        <v/>
      </c>
      <c r="O58" s="7">
        <f>Raw_Data!O58</f>
        <v/>
      </c>
      <c r="P58" s="8">
        <f>Raw_Data!P58</f>
        <v/>
      </c>
      <c r="R58" s="9">
        <f>IFERROR(Cleaned_Data!M58/Cleaned_Data!K58,0)</f>
        <v/>
      </c>
    </row>
    <row r="59">
      <c r="A59" s="10">
        <f>Raw_Data!A59</f>
        <v/>
      </c>
      <c r="B59" s="11">
        <f>Raw_Data!B59</f>
        <v/>
      </c>
      <c r="C59" s="11">
        <f>Raw_Data!C59</f>
        <v/>
      </c>
      <c r="D59" s="10">
        <f>Raw_Data!D59</f>
        <v/>
      </c>
      <c r="E59" s="10">
        <f>Raw_Data!E59</f>
        <v/>
      </c>
      <c r="F59" s="11">
        <f>Raw_Data!F59</f>
        <v/>
      </c>
      <c r="G59" s="11">
        <f>Raw_Data!G59</f>
        <v/>
      </c>
      <c r="H59" s="10">
        <f>Raw_Data!H59</f>
        <v/>
      </c>
      <c r="I59" s="10">
        <f>Raw_Data!I59</f>
        <v/>
      </c>
      <c r="J59" s="11">
        <f>Raw_Data!J59</f>
        <v/>
      </c>
      <c r="K59" s="11">
        <f>Raw_Data!K59</f>
        <v/>
      </c>
      <c r="L59" s="11">
        <f>Raw_Data!L59</f>
        <v/>
      </c>
      <c r="M59" s="10">
        <f>Raw_Data!M59</f>
        <v/>
      </c>
      <c r="N59" s="10">
        <f>Raw_Data!N59</f>
        <v/>
      </c>
      <c r="O59" s="10">
        <f>Raw_Data!O59</f>
        <v/>
      </c>
      <c r="P59" s="11">
        <f>Raw_Data!P59</f>
        <v/>
      </c>
      <c r="R59" s="9">
        <f>IFERROR(Cleaned_Data!M59/Cleaned_Data!K59,0)</f>
        <v/>
      </c>
    </row>
    <row r="60">
      <c r="A60" s="7">
        <f>Raw_Data!A60</f>
        <v/>
      </c>
      <c r="B60" s="8">
        <f>Raw_Data!B60</f>
        <v/>
      </c>
      <c r="C60" s="8">
        <f>Raw_Data!C60</f>
        <v/>
      </c>
      <c r="D60" s="7">
        <f>Raw_Data!D60</f>
        <v/>
      </c>
      <c r="E60" s="7">
        <f>Raw_Data!E60</f>
        <v/>
      </c>
      <c r="F60" s="8">
        <f>Raw_Data!F60</f>
        <v/>
      </c>
      <c r="G60" s="8">
        <f>Raw_Data!G60</f>
        <v/>
      </c>
      <c r="H60" s="7">
        <f>Raw_Data!H60</f>
        <v/>
      </c>
      <c r="I60" s="7">
        <f>Raw_Data!I60</f>
        <v/>
      </c>
      <c r="J60" s="8">
        <f>Raw_Data!J60</f>
        <v/>
      </c>
      <c r="K60" s="8">
        <f>Raw_Data!K60</f>
        <v/>
      </c>
      <c r="L60" s="8">
        <f>Raw_Data!L60</f>
        <v/>
      </c>
      <c r="M60" s="7">
        <f>Raw_Data!M60</f>
        <v/>
      </c>
      <c r="N60" s="7">
        <f>Raw_Data!N60</f>
        <v/>
      </c>
      <c r="O60" s="7">
        <f>Raw_Data!O60</f>
        <v/>
      </c>
      <c r="P60" s="8">
        <f>Raw_Data!P60</f>
        <v/>
      </c>
      <c r="R60" s="9">
        <f>IFERROR(Cleaned_Data!M60/Cleaned_Data!K60,0)</f>
        <v/>
      </c>
    </row>
    <row r="61">
      <c r="A61" s="10">
        <f>Raw_Data!A61</f>
        <v/>
      </c>
      <c r="B61" s="11">
        <f>Raw_Data!B61</f>
        <v/>
      </c>
      <c r="C61" s="11">
        <f>Raw_Data!C61</f>
        <v/>
      </c>
      <c r="D61" s="10">
        <f>Raw_Data!D61</f>
        <v/>
      </c>
      <c r="E61" s="10">
        <f>Raw_Data!E61</f>
        <v/>
      </c>
      <c r="F61" s="11">
        <f>Raw_Data!F61</f>
        <v/>
      </c>
      <c r="G61" s="11">
        <f>Raw_Data!G61</f>
        <v/>
      </c>
      <c r="H61" s="10">
        <f>Raw_Data!H61</f>
        <v/>
      </c>
      <c r="I61" s="10">
        <f>Raw_Data!I61</f>
        <v/>
      </c>
      <c r="J61" s="11">
        <f>Raw_Data!J61</f>
        <v/>
      </c>
      <c r="K61" s="11">
        <f>Raw_Data!K61</f>
        <v/>
      </c>
      <c r="L61" s="11">
        <f>Raw_Data!L61</f>
        <v/>
      </c>
      <c r="M61" s="10">
        <f>Raw_Data!M61</f>
        <v/>
      </c>
      <c r="N61" s="10">
        <f>Raw_Data!N61</f>
        <v/>
      </c>
      <c r="O61" s="10">
        <f>Raw_Data!O61</f>
        <v/>
      </c>
      <c r="P61" s="11">
        <f>Raw_Data!P61</f>
        <v/>
      </c>
      <c r="R61" s="9">
        <f>IFERROR(Cleaned_Data!M61/Cleaned_Data!K61,0)</f>
        <v/>
      </c>
    </row>
    <row r="62">
      <c r="A62" s="7">
        <f>Raw_Data!A62</f>
        <v/>
      </c>
      <c r="B62" s="8">
        <f>Raw_Data!B62</f>
        <v/>
      </c>
      <c r="C62" s="8">
        <f>Raw_Data!C62</f>
        <v/>
      </c>
      <c r="D62" s="7">
        <f>Raw_Data!D62</f>
        <v/>
      </c>
      <c r="E62" s="7">
        <f>Raw_Data!E62</f>
        <v/>
      </c>
      <c r="F62" s="8">
        <f>Raw_Data!F62</f>
        <v/>
      </c>
      <c r="G62" s="8">
        <f>Raw_Data!G62</f>
        <v/>
      </c>
      <c r="H62" s="7">
        <f>Raw_Data!H62</f>
        <v/>
      </c>
      <c r="I62" s="7">
        <f>Raw_Data!I62</f>
        <v/>
      </c>
      <c r="J62" s="8">
        <f>Raw_Data!J62</f>
        <v/>
      </c>
      <c r="K62" s="8">
        <f>Raw_Data!K62</f>
        <v/>
      </c>
      <c r="L62" s="8">
        <f>Raw_Data!L62</f>
        <v/>
      </c>
      <c r="M62" s="7">
        <f>Raw_Data!M62</f>
        <v/>
      </c>
      <c r="N62" s="7">
        <f>Raw_Data!N62</f>
        <v/>
      </c>
      <c r="O62" s="7">
        <f>Raw_Data!O62</f>
        <v/>
      </c>
      <c r="P62" s="8">
        <f>Raw_Data!P62</f>
        <v/>
      </c>
      <c r="R62" s="9">
        <f>IFERROR(Cleaned_Data!M62/Cleaned_Data!K62,0)</f>
        <v/>
      </c>
    </row>
    <row r="63">
      <c r="A63" s="10">
        <f>Raw_Data!A63</f>
        <v/>
      </c>
      <c r="B63" s="11">
        <f>Raw_Data!B63</f>
        <v/>
      </c>
      <c r="C63" s="11">
        <f>Raw_Data!C63</f>
        <v/>
      </c>
      <c r="D63" s="10">
        <f>Raw_Data!D63</f>
        <v/>
      </c>
      <c r="E63" s="10">
        <f>Raw_Data!E63</f>
        <v/>
      </c>
      <c r="F63" s="11">
        <f>Raw_Data!F63</f>
        <v/>
      </c>
      <c r="G63" s="11">
        <f>Raw_Data!G63</f>
        <v/>
      </c>
      <c r="H63" s="10">
        <f>Raw_Data!H63</f>
        <v/>
      </c>
      <c r="I63" s="10">
        <f>Raw_Data!I63</f>
        <v/>
      </c>
      <c r="J63" s="11">
        <f>Raw_Data!J63</f>
        <v/>
      </c>
      <c r="K63" s="11">
        <f>Raw_Data!K63</f>
        <v/>
      </c>
      <c r="L63" s="11">
        <f>Raw_Data!L63</f>
        <v/>
      </c>
      <c r="M63" s="10">
        <f>Raw_Data!M63</f>
        <v/>
      </c>
      <c r="N63" s="10">
        <f>Raw_Data!N63</f>
        <v/>
      </c>
      <c r="O63" s="10">
        <f>Raw_Data!O63</f>
        <v/>
      </c>
      <c r="P63" s="11">
        <f>Raw_Data!P63</f>
        <v/>
      </c>
      <c r="R63" s="9">
        <f>IFERROR(Cleaned_Data!M63/Cleaned_Data!K63,0)</f>
        <v/>
      </c>
    </row>
    <row r="64">
      <c r="A64" s="7">
        <f>Raw_Data!A64</f>
        <v/>
      </c>
      <c r="B64" s="8">
        <f>Raw_Data!B64</f>
        <v/>
      </c>
      <c r="C64" s="8">
        <f>Raw_Data!C64</f>
        <v/>
      </c>
      <c r="D64" s="7">
        <f>Raw_Data!D64</f>
        <v/>
      </c>
      <c r="E64" s="7">
        <f>Raw_Data!E64</f>
        <v/>
      </c>
      <c r="F64" s="8">
        <f>Raw_Data!F64</f>
        <v/>
      </c>
      <c r="G64" s="8">
        <f>Raw_Data!G64</f>
        <v/>
      </c>
      <c r="H64" s="7">
        <f>Raw_Data!H64</f>
        <v/>
      </c>
      <c r="I64" s="7">
        <f>Raw_Data!I64</f>
        <v/>
      </c>
      <c r="J64" s="8">
        <f>Raw_Data!J64</f>
        <v/>
      </c>
      <c r="K64" s="8">
        <f>Raw_Data!K64</f>
        <v/>
      </c>
      <c r="L64" s="8">
        <f>Raw_Data!L64</f>
        <v/>
      </c>
      <c r="M64" s="7">
        <f>Raw_Data!M64</f>
        <v/>
      </c>
      <c r="N64" s="7">
        <f>Raw_Data!N64</f>
        <v/>
      </c>
      <c r="O64" s="7">
        <f>Raw_Data!O64</f>
        <v/>
      </c>
      <c r="P64" s="8">
        <f>Raw_Data!P64</f>
        <v/>
      </c>
      <c r="R64" s="9">
        <f>IFERROR(Cleaned_Data!M64/Cleaned_Data!K64,0)</f>
        <v/>
      </c>
    </row>
    <row r="65">
      <c r="A65" s="10">
        <f>Raw_Data!A65</f>
        <v/>
      </c>
      <c r="B65" s="11">
        <f>Raw_Data!B65</f>
        <v/>
      </c>
      <c r="C65" s="11">
        <f>Raw_Data!C65</f>
        <v/>
      </c>
      <c r="D65" s="10">
        <f>Raw_Data!D65</f>
        <v/>
      </c>
      <c r="E65" s="10">
        <f>Raw_Data!E65</f>
        <v/>
      </c>
      <c r="F65" s="11">
        <f>Raw_Data!F65</f>
        <v/>
      </c>
      <c r="G65" s="11">
        <f>Raw_Data!G65</f>
        <v/>
      </c>
      <c r="H65" s="10">
        <f>Raw_Data!H65</f>
        <v/>
      </c>
      <c r="I65" s="10">
        <f>Raw_Data!I65</f>
        <v/>
      </c>
      <c r="J65" s="11">
        <f>Raw_Data!J65</f>
        <v/>
      </c>
      <c r="K65" s="11">
        <f>Raw_Data!K65</f>
        <v/>
      </c>
      <c r="L65" s="11">
        <f>Raw_Data!L65</f>
        <v/>
      </c>
      <c r="M65" s="10">
        <f>Raw_Data!M65</f>
        <v/>
      </c>
      <c r="N65" s="10">
        <f>Raw_Data!N65</f>
        <v/>
      </c>
      <c r="O65" s="10">
        <f>Raw_Data!O65</f>
        <v/>
      </c>
      <c r="P65" s="11">
        <f>Raw_Data!P65</f>
        <v/>
      </c>
      <c r="R65" s="9">
        <f>IFERROR(Cleaned_Data!M65/Cleaned_Data!K65,0)</f>
        <v/>
      </c>
    </row>
    <row r="66">
      <c r="A66" s="7">
        <f>Raw_Data!A66</f>
        <v/>
      </c>
      <c r="B66" s="8">
        <f>Raw_Data!B66</f>
        <v/>
      </c>
      <c r="C66" s="8">
        <f>Raw_Data!C66</f>
        <v/>
      </c>
      <c r="D66" s="7">
        <f>Raw_Data!D66</f>
        <v/>
      </c>
      <c r="E66" s="7">
        <f>Raw_Data!E66</f>
        <v/>
      </c>
      <c r="F66" s="8">
        <f>Raw_Data!F66</f>
        <v/>
      </c>
      <c r="G66" s="8">
        <f>Raw_Data!G66</f>
        <v/>
      </c>
      <c r="H66" s="7">
        <f>Raw_Data!H66</f>
        <v/>
      </c>
      <c r="I66" s="7">
        <f>Raw_Data!I66</f>
        <v/>
      </c>
      <c r="J66" s="8">
        <f>Raw_Data!J66</f>
        <v/>
      </c>
      <c r="K66" s="8">
        <f>Raw_Data!K66</f>
        <v/>
      </c>
      <c r="L66" s="8">
        <f>Raw_Data!L66</f>
        <v/>
      </c>
      <c r="M66" s="7">
        <f>Raw_Data!M66</f>
        <v/>
      </c>
      <c r="N66" s="7">
        <f>Raw_Data!N66</f>
        <v/>
      </c>
      <c r="O66" s="7">
        <f>Raw_Data!O66</f>
        <v/>
      </c>
      <c r="P66" s="8">
        <f>Raw_Data!P66</f>
        <v/>
      </c>
      <c r="R66" s="9">
        <f>IFERROR(Cleaned_Data!M66/Cleaned_Data!K66,0)</f>
        <v/>
      </c>
    </row>
    <row r="67">
      <c r="A67" s="10">
        <f>Raw_Data!A67</f>
        <v/>
      </c>
      <c r="B67" s="11">
        <f>Raw_Data!B67</f>
        <v/>
      </c>
      <c r="C67" s="11">
        <f>Raw_Data!C67</f>
        <v/>
      </c>
      <c r="D67" s="10">
        <f>Raw_Data!D67</f>
        <v/>
      </c>
      <c r="E67" s="10">
        <f>Raw_Data!E67</f>
        <v/>
      </c>
      <c r="F67" s="11">
        <f>Raw_Data!F67</f>
        <v/>
      </c>
      <c r="G67" s="11">
        <f>Raw_Data!G67</f>
        <v/>
      </c>
      <c r="H67" s="10">
        <f>Raw_Data!H67</f>
        <v/>
      </c>
      <c r="I67" s="10">
        <f>Raw_Data!I67</f>
        <v/>
      </c>
      <c r="J67" s="11">
        <f>Raw_Data!J67</f>
        <v/>
      </c>
      <c r="K67" s="11">
        <f>Raw_Data!K67</f>
        <v/>
      </c>
      <c r="L67" s="11">
        <f>Raw_Data!L67</f>
        <v/>
      </c>
      <c r="M67" s="10">
        <f>Raw_Data!M67</f>
        <v/>
      </c>
      <c r="N67" s="10">
        <f>Raw_Data!N67</f>
        <v/>
      </c>
      <c r="O67" s="10">
        <f>Raw_Data!O67</f>
        <v/>
      </c>
      <c r="P67" s="11">
        <f>Raw_Data!P67</f>
        <v/>
      </c>
      <c r="R67" s="9">
        <f>IFERROR(Cleaned_Data!M67/Cleaned_Data!K67,0)</f>
        <v/>
      </c>
    </row>
    <row r="68">
      <c r="A68" s="7">
        <f>Raw_Data!A68</f>
        <v/>
      </c>
      <c r="B68" s="8">
        <f>Raw_Data!B68</f>
        <v/>
      </c>
      <c r="C68" s="8">
        <f>Raw_Data!C68</f>
        <v/>
      </c>
      <c r="D68" s="7">
        <f>Raw_Data!D68</f>
        <v/>
      </c>
      <c r="E68" s="7">
        <f>Raw_Data!E68</f>
        <v/>
      </c>
      <c r="F68" s="8">
        <f>Raw_Data!F68</f>
        <v/>
      </c>
      <c r="G68" s="8">
        <f>Raw_Data!G68</f>
        <v/>
      </c>
      <c r="H68" s="7">
        <f>Raw_Data!H68</f>
        <v/>
      </c>
      <c r="I68" s="7">
        <f>Raw_Data!I68</f>
        <v/>
      </c>
      <c r="J68" s="8">
        <f>Raw_Data!J68</f>
        <v/>
      </c>
      <c r="K68" s="8">
        <f>Raw_Data!K68</f>
        <v/>
      </c>
      <c r="L68" s="8">
        <f>Raw_Data!L68</f>
        <v/>
      </c>
      <c r="M68" s="7">
        <f>Raw_Data!M68</f>
        <v/>
      </c>
      <c r="N68" s="7">
        <f>Raw_Data!N68</f>
        <v/>
      </c>
      <c r="O68" s="7">
        <f>Raw_Data!O68</f>
        <v/>
      </c>
      <c r="P68" s="8">
        <f>Raw_Data!P68</f>
        <v/>
      </c>
      <c r="R68" s="9">
        <f>IFERROR(Cleaned_Data!M68/Cleaned_Data!K68,0)</f>
        <v/>
      </c>
    </row>
    <row r="69">
      <c r="A69" s="10">
        <f>Raw_Data!A69</f>
        <v/>
      </c>
      <c r="B69" s="11">
        <f>Raw_Data!B69</f>
        <v/>
      </c>
      <c r="C69" s="11">
        <f>Raw_Data!C69</f>
        <v/>
      </c>
      <c r="D69" s="10">
        <f>Raw_Data!D69</f>
        <v/>
      </c>
      <c r="E69" s="10">
        <f>Raw_Data!E69</f>
        <v/>
      </c>
      <c r="F69" s="11">
        <f>Raw_Data!F69</f>
        <v/>
      </c>
      <c r="G69" s="11">
        <f>Raw_Data!G69</f>
        <v/>
      </c>
      <c r="H69" s="10">
        <f>Raw_Data!H69</f>
        <v/>
      </c>
      <c r="I69" s="10">
        <f>Raw_Data!I69</f>
        <v/>
      </c>
      <c r="J69" s="11">
        <f>Raw_Data!J69</f>
        <v/>
      </c>
      <c r="K69" s="11">
        <f>Raw_Data!K69</f>
        <v/>
      </c>
      <c r="L69" s="11">
        <f>Raw_Data!L69</f>
        <v/>
      </c>
      <c r="M69" s="10">
        <f>Raw_Data!M69</f>
        <v/>
      </c>
      <c r="N69" s="10">
        <f>Raw_Data!N69</f>
        <v/>
      </c>
      <c r="O69" s="10">
        <f>Raw_Data!O69</f>
        <v/>
      </c>
      <c r="P69" s="11">
        <f>Raw_Data!P69</f>
        <v/>
      </c>
      <c r="R69" s="9">
        <f>IFERROR(Cleaned_Data!M69/Cleaned_Data!K69,0)</f>
        <v/>
      </c>
    </row>
    <row r="70">
      <c r="A70" s="7">
        <f>Raw_Data!A70</f>
        <v/>
      </c>
      <c r="B70" s="8">
        <f>Raw_Data!B70</f>
        <v/>
      </c>
      <c r="C70" s="8">
        <f>Raw_Data!C70</f>
        <v/>
      </c>
      <c r="D70" s="7">
        <f>Raw_Data!D70</f>
        <v/>
      </c>
      <c r="E70" s="7">
        <f>Raw_Data!E70</f>
        <v/>
      </c>
      <c r="F70" s="8">
        <f>Raw_Data!F70</f>
        <v/>
      </c>
      <c r="G70" s="8">
        <f>Raw_Data!G70</f>
        <v/>
      </c>
      <c r="H70" s="7">
        <f>Raw_Data!H70</f>
        <v/>
      </c>
      <c r="I70" s="7">
        <f>Raw_Data!I70</f>
        <v/>
      </c>
      <c r="J70" s="8">
        <f>Raw_Data!J70</f>
        <v/>
      </c>
      <c r="K70" s="8">
        <f>Raw_Data!K70</f>
        <v/>
      </c>
      <c r="L70" s="8">
        <f>Raw_Data!L70</f>
        <v/>
      </c>
      <c r="M70" s="7">
        <f>Raw_Data!M70</f>
        <v/>
      </c>
      <c r="N70" s="7">
        <f>Raw_Data!N70</f>
        <v/>
      </c>
      <c r="O70" s="7">
        <f>Raw_Data!O70</f>
        <v/>
      </c>
      <c r="P70" s="8">
        <f>Raw_Data!P70</f>
        <v/>
      </c>
      <c r="R70" s="9">
        <f>IFERROR(Cleaned_Data!M70/Cleaned_Data!K70,0)</f>
        <v/>
      </c>
    </row>
    <row r="71">
      <c r="A71" s="10">
        <f>Raw_Data!A71</f>
        <v/>
      </c>
      <c r="B71" s="11">
        <f>Raw_Data!B71</f>
        <v/>
      </c>
      <c r="C71" s="11">
        <f>Raw_Data!C71</f>
        <v/>
      </c>
      <c r="D71" s="10">
        <f>Raw_Data!D71</f>
        <v/>
      </c>
      <c r="E71" s="10">
        <f>Raw_Data!E71</f>
        <v/>
      </c>
      <c r="F71" s="11">
        <f>Raw_Data!F71</f>
        <v/>
      </c>
      <c r="G71" s="11">
        <f>Raw_Data!G71</f>
        <v/>
      </c>
      <c r="H71" s="10">
        <f>Raw_Data!H71</f>
        <v/>
      </c>
      <c r="I71" s="10">
        <f>Raw_Data!I71</f>
        <v/>
      </c>
      <c r="J71" s="11">
        <f>Raw_Data!J71</f>
        <v/>
      </c>
      <c r="K71" s="11">
        <f>Raw_Data!K71</f>
        <v/>
      </c>
      <c r="L71" s="11">
        <f>Raw_Data!L71</f>
        <v/>
      </c>
      <c r="M71" s="10">
        <f>Raw_Data!M71</f>
        <v/>
      </c>
      <c r="N71" s="10">
        <f>Raw_Data!N71</f>
        <v/>
      </c>
      <c r="O71" s="10">
        <f>Raw_Data!O71</f>
        <v/>
      </c>
      <c r="P71" s="11">
        <f>Raw_Data!P71</f>
        <v/>
      </c>
      <c r="R71" s="9">
        <f>IFERROR(Cleaned_Data!M71/Cleaned_Data!K71,0)</f>
        <v/>
      </c>
    </row>
    <row r="72">
      <c r="A72" s="7">
        <f>Raw_Data!A72</f>
        <v/>
      </c>
      <c r="B72" s="8">
        <f>Raw_Data!B72</f>
        <v/>
      </c>
      <c r="C72" s="8">
        <f>Raw_Data!C72</f>
        <v/>
      </c>
      <c r="D72" s="7">
        <f>Raw_Data!D72</f>
        <v/>
      </c>
      <c r="E72" s="7">
        <f>Raw_Data!E72</f>
        <v/>
      </c>
      <c r="F72" s="8">
        <f>Raw_Data!F72</f>
        <v/>
      </c>
      <c r="G72" s="8">
        <f>Raw_Data!G72</f>
        <v/>
      </c>
      <c r="H72" s="7">
        <f>Raw_Data!H72</f>
        <v/>
      </c>
      <c r="I72" s="7">
        <f>Raw_Data!I72</f>
        <v/>
      </c>
      <c r="J72" s="8">
        <f>Raw_Data!J72</f>
        <v/>
      </c>
      <c r="K72" s="8">
        <f>Raw_Data!K72</f>
        <v/>
      </c>
      <c r="L72" s="8">
        <f>Raw_Data!L72</f>
        <v/>
      </c>
      <c r="M72" s="7">
        <f>Raw_Data!M72</f>
        <v/>
      </c>
      <c r="N72" s="7">
        <f>Raw_Data!N72</f>
        <v/>
      </c>
      <c r="O72" s="7">
        <f>Raw_Data!O72</f>
        <v/>
      </c>
      <c r="P72" s="8">
        <f>Raw_Data!P72</f>
        <v/>
      </c>
      <c r="R72" s="9">
        <f>IFERROR(Cleaned_Data!M72/Cleaned_Data!K72,0)</f>
        <v/>
      </c>
    </row>
    <row r="73">
      <c r="A73" s="10">
        <f>Raw_Data!A73</f>
        <v/>
      </c>
      <c r="B73" s="11">
        <f>Raw_Data!B73</f>
        <v/>
      </c>
      <c r="C73" s="11">
        <f>Raw_Data!C73</f>
        <v/>
      </c>
      <c r="D73" s="10">
        <f>Raw_Data!D73</f>
        <v/>
      </c>
      <c r="E73" s="10">
        <f>Raw_Data!E73</f>
        <v/>
      </c>
      <c r="F73" s="11">
        <f>Raw_Data!F73</f>
        <v/>
      </c>
      <c r="G73" s="11">
        <f>Raw_Data!G73</f>
        <v/>
      </c>
      <c r="H73" s="10">
        <f>Raw_Data!H73</f>
        <v/>
      </c>
      <c r="I73" s="10">
        <f>Raw_Data!I73</f>
        <v/>
      </c>
      <c r="J73" s="11">
        <f>Raw_Data!J73</f>
        <v/>
      </c>
      <c r="K73" s="11">
        <f>Raw_Data!K73</f>
        <v/>
      </c>
      <c r="L73" s="11">
        <f>Raw_Data!L73</f>
        <v/>
      </c>
      <c r="M73" s="10">
        <f>Raw_Data!M73</f>
        <v/>
      </c>
      <c r="N73" s="10">
        <f>Raw_Data!N73</f>
        <v/>
      </c>
      <c r="O73" s="10">
        <f>Raw_Data!O73</f>
        <v/>
      </c>
      <c r="P73" s="11">
        <f>Raw_Data!P73</f>
        <v/>
      </c>
      <c r="R73" s="9">
        <f>IFERROR(Cleaned_Data!M73/Cleaned_Data!K73,0)</f>
        <v/>
      </c>
    </row>
    <row r="74">
      <c r="A74" s="7">
        <f>Raw_Data!A74</f>
        <v/>
      </c>
      <c r="B74" s="8">
        <f>Raw_Data!B74</f>
        <v/>
      </c>
      <c r="C74" s="8">
        <f>Raw_Data!C74</f>
        <v/>
      </c>
      <c r="D74" s="7">
        <f>Raw_Data!D74</f>
        <v/>
      </c>
      <c r="E74" s="7">
        <f>Raw_Data!E74</f>
        <v/>
      </c>
      <c r="F74" s="8">
        <f>Raw_Data!F74</f>
        <v/>
      </c>
      <c r="G74" s="8">
        <f>Raw_Data!G74</f>
        <v/>
      </c>
      <c r="H74" s="7">
        <f>Raw_Data!H74</f>
        <v/>
      </c>
      <c r="I74" s="7">
        <f>Raw_Data!I74</f>
        <v/>
      </c>
      <c r="J74" s="8">
        <f>Raw_Data!J74</f>
        <v/>
      </c>
      <c r="K74" s="8">
        <f>Raw_Data!K74</f>
        <v/>
      </c>
      <c r="L74" s="8">
        <f>Raw_Data!L74</f>
        <v/>
      </c>
      <c r="M74" s="7">
        <f>Raw_Data!M74</f>
        <v/>
      </c>
      <c r="N74" s="7">
        <f>Raw_Data!N74</f>
        <v/>
      </c>
      <c r="O74" s="7">
        <f>Raw_Data!O74</f>
        <v/>
      </c>
      <c r="P74" s="8">
        <f>Raw_Data!P74</f>
        <v/>
      </c>
      <c r="R74" s="9">
        <f>IFERROR(Cleaned_Data!M74/Cleaned_Data!K74,0)</f>
        <v/>
      </c>
    </row>
    <row r="75">
      <c r="A75" s="10">
        <f>Raw_Data!A75</f>
        <v/>
      </c>
      <c r="B75" s="11">
        <f>Raw_Data!B75</f>
        <v/>
      </c>
      <c r="C75" s="11">
        <f>Raw_Data!C75</f>
        <v/>
      </c>
      <c r="D75" s="10">
        <f>Raw_Data!D75</f>
        <v/>
      </c>
      <c r="E75" s="10">
        <f>Raw_Data!E75</f>
        <v/>
      </c>
      <c r="F75" s="11">
        <f>Raw_Data!F75</f>
        <v/>
      </c>
      <c r="G75" s="11">
        <f>Raw_Data!G75</f>
        <v/>
      </c>
      <c r="H75" s="10">
        <f>Raw_Data!H75</f>
        <v/>
      </c>
      <c r="I75" s="10">
        <f>Raw_Data!I75</f>
        <v/>
      </c>
      <c r="J75" s="11">
        <f>Raw_Data!J75</f>
        <v/>
      </c>
      <c r="K75" s="11">
        <f>Raw_Data!K75</f>
        <v/>
      </c>
      <c r="L75" s="11">
        <f>Raw_Data!L75</f>
        <v/>
      </c>
      <c r="M75" s="10">
        <f>Raw_Data!M75</f>
        <v/>
      </c>
      <c r="N75" s="10">
        <f>Raw_Data!N75</f>
        <v/>
      </c>
      <c r="O75" s="10">
        <f>Raw_Data!O75</f>
        <v/>
      </c>
      <c r="P75" s="11">
        <f>Raw_Data!P75</f>
        <v/>
      </c>
      <c r="R75" s="9">
        <f>IFERROR(Cleaned_Data!M75/Cleaned_Data!K75,0)</f>
        <v/>
      </c>
    </row>
    <row r="76">
      <c r="A76" s="7">
        <f>Raw_Data!A76</f>
        <v/>
      </c>
      <c r="B76" s="8">
        <f>Raw_Data!B76</f>
        <v/>
      </c>
      <c r="C76" s="8">
        <f>Raw_Data!C76</f>
        <v/>
      </c>
      <c r="D76" s="7">
        <f>Raw_Data!D76</f>
        <v/>
      </c>
      <c r="E76" s="7">
        <f>Raw_Data!E76</f>
        <v/>
      </c>
      <c r="F76" s="8">
        <f>Raw_Data!F76</f>
        <v/>
      </c>
      <c r="G76" s="8">
        <f>Raw_Data!G76</f>
        <v/>
      </c>
      <c r="H76" s="7">
        <f>Raw_Data!H76</f>
        <v/>
      </c>
      <c r="I76" s="7">
        <f>Raw_Data!I76</f>
        <v/>
      </c>
      <c r="J76" s="8">
        <f>Raw_Data!J76</f>
        <v/>
      </c>
      <c r="K76" s="8">
        <f>Raw_Data!K76</f>
        <v/>
      </c>
      <c r="L76" s="8">
        <f>Raw_Data!L76</f>
        <v/>
      </c>
      <c r="M76" s="7">
        <f>Raw_Data!M76</f>
        <v/>
      </c>
      <c r="N76" s="7">
        <f>Raw_Data!N76</f>
        <v/>
      </c>
      <c r="O76" s="7">
        <f>Raw_Data!O76</f>
        <v/>
      </c>
      <c r="P76" s="8">
        <f>Raw_Data!P76</f>
        <v/>
      </c>
      <c r="R76" s="9">
        <f>IFERROR(Cleaned_Data!M76/Cleaned_Data!K76,0)</f>
        <v/>
      </c>
    </row>
    <row r="77">
      <c r="A77" s="10">
        <f>Raw_Data!A77</f>
        <v/>
      </c>
      <c r="B77" s="11">
        <f>Raw_Data!B77</f>
        <v/>
      </c>
      <c r="C77" s="11">
        <f>Raw_Data!C77</f>
        <v/>
      </c>
      <c r="D77" s="10">
        <f>Raw_Data!D77</f>
        <v/>
      </c>
      <c r="E77" s="10">
        <f>Raw_Data!E77</f>
        <v/>
      </c>
      <c r="F77" s="11">
        <f>Raw_Data!F77</f>
        <v/>
      </c>
      <c r="G77" s="11">
        <f>Raw_Data!G77</f>
        <v/>
      </c>
      <c r="H77" s="10">
        <f>Raw_Data!H77</f>
        <v/>
      </c>
      <c r="I77" s="10">
        <f>Raw_Data!I77</f>
        <v/>
      </c>
      <c r="J77" s="11">
        <f>Raw_Data!J77</f>
        <v/>
      </c>
      <c r="K77" s="11">
        <f>Raw_Data!K77</f>
        <v/>
      </c>
      <c r="L77" s="11">
        <f>Raw_Data!L77</f>
        <v/>
      </c>
      <c r="M77" s="10">
        <f>Raw_Data!M77</f>
        <v/>
      </c>
      <c r="N77" s="10">
        <f>Raw_Data!N77</f>
        <v/>
      </c>
      <c r="O77" s="10">
        <f>Raw_Data!O77</f>
        <v/>
      </c>
      <c r="P77" s="11">
        <f>Raw_Data!P77</f>
        <v/>
      </c>
      <c r="R77" s="9">
        <f>IFERROR(Cleaned_Data!M77/Cleaned_Data!K77,0)</f>
        <v/>
      </c>
    </row>
    <row r="78">
      <c r="A78" s="7">
        <f>Raw_Data!A78</f>
        <v/>
      </c>
      <c r="B78" s="8">
        <f>Raw_Data!B78</f>
        <v/>
      </c>
      <c r="C78" s="8">
        <f>Raw_Data!C78</f>
        <v/>
      </c>
      <c r="D78" s="7">
        <f>Raw_Data!D78</f>
        <v/>
      </c>
      <c r="E78" s="7">
        <f>Raw_Data!E78</f>
        <v/>
      </c>
      <c r="F78" s="8">
        <f>Raw_Data!F78</f>
        <v/>
      </c>
      <c r="G78" s="8">
        <f>Raw_Data!G78</f>
        <v/>
      </c>
      <c r="H78" s="7">
        <f>Raw_Data!H78</f>
        <v/>
      </c>
      <c r="I78" s="7">
        <f>Raw_Data!I78</f>
        <v/>
      </c>
      <c r="J78" s="8">
        <f>Raw_Data!J78</f>
        <v/>
      </c>
      <c r="K78" s="8">
        <f>Raw_Data!K78</f>
        <v/>
      </c>
      <c r="L78" s="8">
        <f>Raw_Data!L78</f>
        <v/>
      </c>
      <c r="M78" s="7">
        <f>Raw_Data!M78</f>
        <v/>
      </c>
      <c r="N78" s="7">
        <f>Raw_Data!N78</f>
        <v/>
      </c>
      <c r="O78" s="7">
        <f>Raw_Data!O78</f>
        <v/>
      </c>
      <c r="P78" s="8">
        <f>Raw_Data!P78</f>
        <v/>
      </c>
      <c r="R78" s="9">
        <f>IFERROR(Cleaned_Data!M78/Cleaned_Data!K78,0)</f>
        <v/>
      </c>
    </row>
    <row r="79">
      <c r="A79" s="10">
        <f>Raw_Data!A79</f>
        <v/>
      </c>
      <c r="B79" s="11">
        <f>Raw_Data!B79</f>
        <v/>
      </c>
      <c r="C79" s="11">
        <f>Raw_Data!C79</f>
        <v/>
      </c>
      <c r="D79" s="10">
        <f>Raw_Data!D79</f>
        <v/>
      </c>
      <c r="E79" s="10">
        <f>Raw_Data!E79</f>
        <v/>
      </c>
      <c r="F79" s="11">
        <f>Raw_Data!F79</f>
        <v/>
      </c>
      <c r="G79" s="11">
        <f>Raw_Data!G79</f>
        <v/>
      </c>
      <c r="H79" s="10">
        <f>Raw_Data!H79</f>
        <v/>
      </c>
      <c r="I79" s="10">
        <f>Raw_Data!I79</f>
        <v/>
      </c>
      <c r="J79" s="11">
        <f>Raw_Data!J79</f>
        <v/>
      </c>
      <c r="K79" s="11">
        <f>Raw_Data!K79</f>
        <v/>
      </c>
      <c r="L79" s="11">
        <f>Raw_Data!L79</f>
        <v/>
      </c>
      <c r="M79" s="10">
        <f>Raw_Data!M79</f>
        <v/>
      </c>
      <c r="N79" s="10">
        <f>Raw_Data!N79</f>
        <v/>
      </c>
      <c r="O79" s="10">
        <f>Raw_Data!O79</f>
        <v/>
      </c>
      <c r="P79" s="11">
        <f>Raw_Data!P79</f>
        <v/>
      </c>
      <c r="R79" s="9">
        <f>IFERROR(Cleaned_Data!M79/Cleaned_Data!K79,0)</f>
        <v/>
      </c>
    </row>
    <row r="80">
      <c r="A80" s="7">
        <f>Raw_Data!A80</f>
        <v/>
      </c>
      <c r="B80" s="8">
        <f>Raw_Data!B80</f>
        <v/>
      </c>
      <c r="C80" s="8">
        <f>Raw_Data!C80</f>
        <v/>
      </c>
      <c r="D80" s="7">
        <f>Raw_Data!D80</f>
        <v/>
      </c>
      <c r="E80" s="7">
        <f>Raw_Data!E80</f>
        <v/>
      </c>
      <c r="F80" s="8">
        <f>Raw_Data!F80</f>
        <v/>
      </c>
      <c r="G80" s="8">
        <f>Raw_Data!G80</f>
        <v/>
      </c>
      <c r="H80" s="7">
        <f>Raw_Data!H80</f>
        <v/>
      </c>
      <c r="I80" s="7">
        <f>Raw_Data!I80</f>
        <v/>
      </c>
      <c r="J80" s="8">
        <f>Raw_Data!J80</f>
        <v/>
      </c>
      <c r="K80" s="8">
        <f>Raw_Data!K80</f>
        <v/>
      </c>
      <c r="L80" s="8">
        <f>Raw_Data!L80</f>
        <v/>
      </c>
      <c r="M80" s="7">
        <f>Raw_Data!M80</f>
        <v/>
      </c>
      <c r="N80" s="7">
        <f>Raw_Data!N80</f>
        <v/>
      </c>
      <c r="O80" s="7">
        <f>Raw_Data!O80</f>
        <v/>
      </c>
      <c r="P80" s="8">
        <f>Raw_Data!P80</f>
        <v/>
      </c>
      <c r="R80" s="9">
        <f>IFERROR(Cleaned_Data!M80/Cleaned_Data!K80,0)</f>
        <v/>
      </c>
    </row>
    <row r="81">
      <c r="A81" s="10">
        <f>Raw_Data!A81</f>
        <v/>
      </c>
      <c r="B81" s="11">
        <f>Raw_Data!B81</f>
        <v/>
      </c>
      <c r="C81" s="11">
        <f>Raw_Data!C81</f>
        <v/>
      </c>
      <c r="D81" s="10">
        <f>Raw_Data!D81</f>
        <v/>
      </c>
      <c r="E81" s="10">
        <f>Raw_Data!E81</f>
        <v/>
      </c>
      <c r="F81" s="11">
        <f>Raw_Data!F81</f>
        <v/>
      </c>
      <c r="G81" s="11">
        <f>Raw_Data!G81</f>
        <v/>
      </c>
      <c r="H81" s="10">
        <f>Raw_Data!H81</f>
        <v/>
      </c>
      <c r="I81" s="10">
        <f>Raw_Data!I81</f>
        <v/>
      </c>
      <c r="J81" s="11">
        <f>Raw_Data!J81</f>
        <v/>
      </c>
      <c r="K81" s="11">
        <f>Raw_Data!K81</f>
        <v/>
      </c>
      <c r="L81" s="11">
        <f>Raw_Data!L81</f>
        <v/>
      </c>
      <c r="M81" s="10">
        <f>Raw_Data!M81</f>
        <v/>
      </c>
      <c r="N81" s="10">
        <f>Raw_Data!N81</f>
        <v/>
      </c>
      <c r="O81" s="10">
        <f>Raw_Data!O81</f>
        <v/>
      </c>
      <c r="P81" s="11">
        <f>Raw_Data!P81</f>
        <v/>
      </c>
      <c r="R81" s="9">
        <f>IFERROR(Cleaned_Data!M81/Cleaned_Data!K81,0)</f>
        <v/>
      </c>
    </row>
    <row r="82">
      <c r="A82" s="7">
        <f>Raw_Data!A82</f>
        <v/>
      </c>
      <c r="B82" s="8">
        <f>Raw_Data!B82</f>
        <v/>
      </c>
      <c r="C82" s="8">
        <f>Raw_Data!C82</f>
        <v/>
      </c>
      <c r="D82" s="7">
        <f>Raw_Data!D82</f>
        <v/>
      </c>
      <c r="E82" s="7">
        <f>Raw_Data!E82</f>
        <v/>
      </c>
      <c r="F82" s="8">
        <f>Raw_Data!F82</f>
        <v/>
      </c>
      <c r="G82" s="8">
        <f>Raw_Data!G82</f>
        <v/>
      </c>
      <c r="H82" s="7">
        <f>Raw_Data!H82</f>
        <v/>
      </c>
      <c r="I82" s="7">
        <f>Raw_Data!I82</f>
        <v/>
      </c>
      <c r="J82" s="8">
        <f>Raw_Data!J82</f>
        <v/>
      </c>
      <c r="K82" s="8">
        <f>Raw_Data!K82</f>
        <v/>
      </c>
      <c r="L82" s="8">
        <f>Raw_Data!L82</f>
        <v/>
      </c>
      <c r="M82" s="7">
        <f>Raw_Data!M82</f>
        <v/>
      </c>
      <c r="N82" s="7">
        <f>Raw_Data!N82</f>
        <v/>
      </c>
      <c r="O82" s="7">
        <f>Raw_Data!O82</f>
        <v/>
      </c>
      <c r="P82" s="8">
        <f>Raw_Data!P82</f>
        <v/>
      </c>
      <c r="R82" s="9">
        <f>IFERROR(Cleaned_Data!M82/Cleaned_Data!K82,0)</f>
        <v/>
      </c>
    </row>
    <row r="83">
      <c r="A83" s="10">
        <f>Raw_Data!A83</f>
        <v/>
      </c>
      <c r="B83" s="11">
        <f>Raw_Data!B83</f>
        <v/>
      </c>
      <c r="C83" s="11">
        <f>Raw_Data!C83</f>
        <v/>
      </c>
      <c r="D83" s="10">
        <f>Raw_Data!D83</f>
        <v/>
      </c>
      <c r="E83" s="10">
        <f>Raw_Data!E83</f>
        <v/>
      </c>
      <c r="F83" s="11">
        <f>Raw_Data!F83</f>
        <v/>
      </c>
      <c r="G83" s="11">
        <f>Raw_Data!G83</f>
        <v/>
      </c>
      <c r="H83" s="10">
        <f>Raw_Data!H83</f>
        <v/>
      </c>
      <c r="I83" s="10">
        <f>Raw_Data!I83</f>
        <v/>
      </c>
      <c r="J83" s="11">
        <f>Raw_Data!J83</f>
        <v/>
      </c>
      <c r="K83" s="11">
        <f>Raw_Data!K83</f>
        <v/>
      </c>
      <c r="L83" s="11">
        <f>Raw_Data!L83</f>
        <v/>
      </c>
      <c r="M83" s="10">
        <f>Raw_Data!M83</f>
        <v/>
      </c>
      <c r="N83" s="10">
        <f>Raw_Data!N83</f>
        <v/>
      </c>
      <c r="O83" s="10">
        <f>Raw_Data!O83</f>
        <v/>
      </c>
      <c r="P83" s="11">
        <f>Raw_Data!P83</f>
        <v/>
      </c>
      <c r="R83" s="9">
        <f>IFERROR(Cleaned_Data!M83/Cleaned_Data!K83,0)</f>
        <v/>
      </c>
    </row>
    <row r="84">
      <c r="A84" s="7">
        <f>Raw_Data!A84</f>
        <v/>
      </c>
      <c r="B84" s="8">
        <f>Raw_Data!B84</f>
        <v/>
      </c>
      <c r="C84" s="8">
        <f>Raw_Data!C84</f>
        <v/>
      </c>
      <c r="D84" s="7">
        <f>Raw_Data!D84</f>
        <v/>
      </c>
      <c r="E84" s="7">
        <f>Raw_Data!E84</f>
        <v/>
      </c>
      <c r="F84" s="8">
        <f>Raw_Data!F84</f>
        <v/>
      </c>
      <c r="G84" s="8">
        <f>Raw_Data!G84</f>
        <v/>
      </c>
      <c r="H84" s="7">
        <f>Raw_Data!H84</f>
        <v/>
      </c>
      <c r="I84" s="7">
        <f>Raw_Data!I84</f>
        <v/>
      </c>
      <c r="J84" s="8">
        <f>Raw_Data!J84</f>
        <v/>
      </c>
      <c r="K84" s="8">
        <f>Raw_Data!K84</f>
        <v/>
      </c>
      <c r="L84" s="8">
        <f>Raw_Data!L84</f>
        <v/>
      </c>
      <c r="M84" s="7">
        <f>Raw_Data!M84</f>
        <v/>
      </c>
      <c r="N84" s="7">
        <f>Raw_Data!N84</f>
        <v/>
      </c>
      <c r="O84" s="7">
        <f>Raw_Data!O84</f>
        <v/>
      </c>
      <c r="P84" s="8">
        <f>Raw_Data!P84</f>
        <v/>
      </c>
      <c r="R84" s="9">
        <f>IFERROR(Cleaned_Data!M84/Cleaned_Data!K84,0)</f>
        <v/>
      </c>
    </row>
    <row r="85">
      <c r="A85" s="10">
        <f>Raw_Data!A85</f>
        <v/>
      </c>
      <c r="B85" s="11">
        <f>Raw_Data!B85</f>
        <v/>
      </c>
      <c r="C85" s="11">
        <f>Raw_Data!C85</f>
        <v/>
      </c>
      <c r="D85" s="10">
        <f>Raw_Data!D85</f>
        <v/>
      </c>
      <c r="E85" s="10">
        <f>Raw_Data!E85</f>
        <v/>
      </c>
      <c r="F85" s="11">
        <f>Raw_Data!F85</f>
        <v/>
      </c>
      <c r="G85" s="11">
        <f>Raw_Data!G85</f>
        <v/>
      </c>
      <c r="H85" s="10">
        <f>Raw_Data!H85</f>
        <v/>
      </c>
      <c r="I85" s="10">
        <f>Raw_Data!I85</f>
        <v/>
      </c>
      <c r="J85" s="11">
        <f>Raw_Data!J85</f>
        <v/>
      </c>
      <c r="K85" s="11">
        <f>Raw_Data!K85</f>
        <v/>
      </c>
      <c r="L85" s="11">
        <f>Raw_Data!L85</f>
        <v/>
      </c>
      <c r="M85" s="10">
        <f>Raw_Data!M85</f>
        <v/>
      </c>
      <c r="N85" s="10">
        <f>Raw_Data!N85</f>
        <v/>
      </c>
      <c r="O85" s="10">
        <f>Raw_Data!O85</f>
        <v/>
      </c>
      <c r="P85" s="11">
        <f>Raw_Data!P85</f>
        <v/>
      </c>
      <c r="R85" s="9">
        <f>IFERROR(Cleaned_Data!M85/Cleaned_Data!K85,0)</f>
        <v/>
      </c>
    </row>
    <row r="86">
      <c r="A86" s="7">
        <f>Raw_Data!A86</f>
        <v/>
      </c>
      <c r="B86" s="8">
        <f>Raw_Data!B86</f>
        <v/>
      </c>
      <c r="C86" s="8">
        <f>Raw_Data!C86</f>
        <v/>
      </c>
      <c r="D86" s="7">
        <f>Raw_Data!D86</f>
        <v/>
      </c>
      <c r="E86" s="7">
        <f>Raw_Data!E86</f>
        <v/>
      </c>
      <c r="F86" s="8">
        <f>Raw_Data!F86</f>
        <v/>
      </c>
      <c r="G86" s="8">
        <f>Raw_Data!G86</f>
        <v/>
      </c>
      <c r="H86" s="7">
        <f>Raw_Data!H86</f>
        <v/>
      </c>
      <c r="I86" s="7">
        <f>Raw_Data!I86</f>
        <v/>
      </c>
      <c r="J86" s="8">
        <f>Raw_Data!J86</f>
        <v/>
      </c>
      <c r="K86" s="8">
        <f>Raw_Data!K86</f>
        <v/>
      </c>
      <c r="L86" s="8">
        <f>Raw_Data!L86</f>
        <v/>
      </c>
      <c r="M86" s="7">
        <f>Raw_Data!M86</f>
        <v/>
      </c>
      <c r="N86" s="7">
        <f>Raw_Data!N86</f>
        <v/>
      </c>
      <c r="O86" s="7">
        <f>Raw_Data!O86</f>
        <v/>
      </c>
      <c r="P86" s="8">
        <f>Raw_Data!P86</f>
        <v/>
      </c>
      <c r="R86" s="9">
        <f>IFERROR(Cleaned_Data!M86/Cleaned_Data!K86,0)</f>
        <v/>
      </c>
    </row>
    <row r="87">
      <c r="A87" s="10">
        <f>Raw_Data!A87</f>
        <v/>
      </c>
      <c r="B87" s="11">
        <f>Raw_Data!B87</f>
        <v/>
      </c>
      <c r="C87" s="11">
        <f>Raw_Data!C87</f>
        <v/>
      </c>
      <c r="D87" s="10">
        <f>Raw_Data!D87</f>
        <v/>
      </c>
      <c r="E87" s="10">
        <f>Raw_Data!E87</f>
        <v/>
      </c>
      <c r="F87" s="11">
        <f>Raw_Data!F87</f>
        <v/>
      </c>
      <c r="G87" s="11">
        <f>Raw_Data!G87</f>
        <v/>
      </c>
      <c r="H87" s="10">
        <f>Raw_Data!H87</f>
        <v/>
      </c>
      <c r="I87" s="10">
        <f>Raw_Data!I87</f>
        <v/>
      </c>
      <c r="J87" s="11">
        <f>Raw_Data!J87</f>
        <v/>
      </c>
      <c r="K87" s="11">
        <f>Raw_Data!K87</f>
        <v/>
      </c>
      <c r="L87" s="11">
        <f>Raw_Data!L87</f>
        <v/>
      </c>
      <c r="M87" s="10">
        <f>Raw_Data!M87</f>
        <v/>
      </c>
      <c r="N87" s="10">
        <f>Raw_Data!N87</f>
        <v/>
      </c>
      <c r="O87" s="10">
        <f>Raw_Data!O87</f>
        <v/>
      </c>
      <c r="P87" s="11">
        <f>Raw_Data!P87</f>
        <v/>
      </c>
      <c r="R87" s="9">
        <f>IFERROR(Cleaned_Data!M87/Cleaned_Data!K87,0)</f>
        <v/>
      </c>
    </row>
    <row r="88">
      <c r="A88" s="7">
        <f>Raw_Data!A88</f>
        <v/>
      </c>
      <c r="B88" s="8">
        <f>Raw_Data!B88</f>
        <v/>
      </c>
      <c r="C88" s="8">
        <f>Raw_Data!C88</f>
        <v/>
      </c>
      <c r="D88" s="7">
        <f>Raw_Data!D88</f>
        <v/>
      </c>
      <c r="E88" s="7">
        <f>Raw_Data!E88</f>
        <v/>
      </c>
      <c r="F88" s="8">
        <f>Raw_Data!F88</f>
        <v/>
      </c>
      <c r="G88" s="8">
        <f>Raw_Data!G88</f>
        <v/>
      </c>
      <c r="H88" s="7">
        <f>Raw_Data!H88</f>
        <v/>
      </c>
      <c r="I88" s="7">
        <f>Raw_Data!I88</f>
        <v/>
      </c>
      <c r="J88" s="8">
        <f>Raw_Data!J88</f>
        <v/>
      </c>
      <c r="K88" s="8">
        <f>Raw_Data!K88</f>
        <v/>
      </c>
      <c r="L88" s="8">
        <f>Raw_Data!L88</f>
        <v/>
      </c>
      <c r="M88" s="7">
        <f>Raw_Data!M88</f>
        <v/>
      </c>
      <c r="N88" s="7">
        <f>Raw_Data!N88</f>
        <v/>
      </c>
      <c r="O88" s="7">
        <f>Raw_Data!O88</f>
        <v/>
      </c>
      <c r="P88" s="8">
        <f>Raw_Data!P88</f>
        <v/>
      </c>
      <c r="R88" s="9">
        <f>IFERROR(Cleaned_Data!M88/Cleaned_Data!K88,0)</f>
        <v/>
      </c>
    </row>
    <row r="89">
      <c r="A89" s="10">
        <f>Raw_Data!A89</f>
        <v/>
      </c>
      <c r="B89" s="11">
        <f>Raw_Data!B89</f>
        <v/>
      </c>
      <c r="C89" s="11">
        <f>Raw_Data!C89</f>
        <v/>
      </c>
      <c r="D89" s="10">
        <f>Raw_Data!D89</f>
        <v/>
      </c>
      <c r="E89" s="10">
        <f>Raw_Data!E89</f>
        <v/>
      </c>
      <c r="F89" s="11">
        <f>Raw_Data!F89</f>
        <v/>
      </c>
      <c r="G89" s="11">
        <f>Raw_Data!G89</f>
        <v/>
      </c>
      <c r="H89" s="10">
        <f>Raw_Data!H89</f>
        <v/>
      </c>
      <c r="I89" s="10">
        <f>Raw_Data!I89</f>
        <v/>
      </c>
      <c r="J89" s="11">
        <f>Raw_Data!J89</f>
        <v/>
      </c>
      <c r="K89" s="11">
        <f>Raw_Data!K89</f>
        <v/>
      </c>
      <c r="L89" s="11">
        <f>Raw_Data!L89</f>
        <v/>
      </c>
      <c r="M89" s="10">
        <f>Raw_Data!M89</f>
        <v/>
      </c>
      <c r="N89" s="10">
        <f>Raw_Data!N89</f>
        <v/>
      </c>
      <c r="O89" s="10">
        <f>Raw_Data!O89</f>
        <v/>
      </c>
      <c r="P89" s="11">
        <f>Raw_Data!P89</f>
        <v/>
      </c>
      <c r="R89" s="9">
        <f>IFERROR(Cleaned_Data!M89/Cleaned_Data!K89,0)</f>
        <v/>
      </c>
    </row>
    <row r="90">
      <c r="A90" s="7">
        <f>Raw_Data!A90</f>
        <v/>
      </c>
      <c r="B90" s="8">
        <f>Raw_Data!B90</f>
        <v/>
      </c>
      <c r="C90" s="8">
        <f>Raw_Data!C90</f>
        <v/>
      </c>
      <c r="D90" s="7">
        <f>Raw_Data!D90</f>
        <v/>
      </c>
      <c r="E90" s="7">
        <f>Raw_Data!E90</f>
        <v/>
      </c>
      <c r="F90" s="8">
        <f>Raw_Data!F90</f>
        <v/>
      </c>
      <c r="G90" s="8">
        <f>Raw_Data!G90</f>
        <v/>
      </c>
      <c r="H90" s="7">
        <f>Raw_Data!H90</f>
        <v/>
      </c>
      <c r="I90" s="7">
        <f>Raw_Data!I90</f>
        <v/>
      </c>
      <c r="J90" s="8">
        <f>Raw_Data!J90</f>
        <v/>
      </c>
      <c r="K90" s="8">
        <f>Raw_Data!K90</f>
        <v/>
      </c>
      <c r="L90" s="8">
        <f>Raw_Data!L90</f>
        <v/>
      </c>
      <c r="M90" s="7">
        <f>Raw_Data!M90</f>
        <v/>
      </c>
      <c r="N90" s="7">
        <f>Raw_Data!N90</f>
        <v/>
      </c>
      <c r="O90" s="7">
        <f>Raw_Data!O90</f>
        <v/>
      </c>
      <c r="P90" s="8">
        <f>Raw_Data!P90</f>
        <v/>
      </c>
      <c r="R90" s="9">
        <f>IFERROR(Cleaned_Data!M90/Cleaned_Data!K90,0)</f>
        <v/>
      </c>
    </row>
    <row r="91">
      <c r="A91" s="10">
        <f>Raw_Data!A91</f>
        <v/>
      </c>
      <c r="B91" s="11">
        <f>Raw_Data!B91</f>
        <v/>
      </c>
      <c r="C91" s="11">
        <f>Raw_Data!C91</f>
        <v/>
      </c>
      <c r="D91" s="10">
        <f>Raw_Data!D91</f>
        <v/>
      </c>
      <c r="E91" s="10">
        <f>Raw_Data!E91</f>
        <v/>
      </c>
      <c r="F91" s="11">
        <f>Raw_Data!F91</f>
        <v/>
      </c>
      <c r="G91" s="11">
        <f>Raw_Data!G91</f>
        <v/>
      </c>
      <c r="H91" s="10">
        <f>Raw_Data!H91</f>
        <v/>
      </c>
      <c r="I91" s="10">
        <f>Raw_Data!I91</f>
        <v/>
      </c>
      <c r="J91" s="11">
        <f>Raw_Data!J91</f>
        <v/>
      </c>
      <c r="K91" s="11">
        <f>Raw_Data!K91</f>
        <v/>
      </c>
      <c r="L91" s="11">
        <f>Raw_Data!L91</f>
        <v/>
      </c>
      <c r="M91" s="10">
        <f>Raw_Data!M91</f>
        <v/>
      </c>
      <c r="N91" s="10">
        <f>Raw_Data!N91</f>
        <v/>
      </c>
      <c r="O91" s="10">
        <f>Raw_Data!O91</f>
        <v/>
      </c>
      <c r="P91" s="11">
        <f>Raw_Data!P91</f>
        <v/>
      </c>
      <c r="R91" s="9">
        <f>IFERROR(Cleaned_Data!M91/Cleaned_Data!K91,0)</f>
        <v/>
      </c>
    </row>
    <row r="92">
      <c r="A92" s="7">
        <f>Raw_Data!A92</f>
        <v/>
      </c>
      <c r="B92" s="8">
        <f>Raw_Data!B92</f>
        <v/>
      </c>
      <c r="C92" s="8">
        <f>Raw_Data!C92</f>
        <v/>
      </c>
      <c r="D92" s="7">
        <f>Raw_Data!D92</f>
        <v/>
      </c>
      <c r="E92" s="7">
        <f>Raw_Data!E92</f>
        <v/>
      </c>
      <c r="F92" s="8">
        <f>Raw_Data!F92</f>
        <v/>
      </c>
      <c r="G92" s="8">
        <f>Raw_Data!G92</f>
        <v/>
      </c>
      <c r="H92" s="7">
        <f>Raw_Data!H92</f>
        <v/>
      </c>
      <c r="I92" s="7">
        <f>Raw_Data!I92</f>
        <v/>
      </c>
      <c r="J92" s="8">
        <f>Raw_Data!J92</f>
        <v/>
      </c>
      <c r="K92" s="8">
        <f>Raw_Data!K92</f>
        <v/>
      </c>
      <c r="L92" s="8">
        <f>Raw_Data!L92</f>
        <v/>
      </c>
      <c r="M92" s="7">
        <f>Raw_Data!M92</f>
        <v/>
      </c>
      <c r="N92" s="7">
        <f>Raw_Data!N92</f>
        <v/>
      </c>
      <c r="O92" s="7">
        <f>Raw_Data!O92</f>
        <v/>
      </c>
      <c r="P92" s="8">
        <f>Raw_Data!P92</f>
        <v/>
      </c>
      <c r="R92" s="9">
        <f>IFERROR(Cleaned_Data!M92/Cleaned_Data!K92,0)</f>
        <v/>
      </c>
    </row>
    <row r="93">
      <c r="A93" s="10">
        <f>Raw_Data!A93</f>
        <v/>
      </c>
      <c r="B93" s="11">
        <f>Raw_Data!B93</f>
        <v/>
      </c>
      <c r="C93" s="11">
        <f>Raw_Data!C93</f>
        <v/>
      </c>
      <c r="D93" s="10">
        <f>Raw_Data!D93</f>
        <v/>
      </c>
      <c r="E93" s="10">
        <f>Raw_Data!E93</f>
        <v/>
      </c>
      <c r="F93" s="11">
        <f>Raw_Data!F93</f>
        <v/>
      </c>
      <c r="G93" s="11">
        <f>Raw_Data!G93</f>
        <v/>
      </c>
      <c r="H93" s="10">
        <f>Raw_Data!H93</f>
        <v/>
      </c>
      <c r="I93" s="10">
        <f>Raw_Data!I93</f>
        <v/>
      </c>
      <c r="J93" s="11">
        <f>Raw_Data!J93</f>
        <v/>
      </c>
      <c r="K93" s="11">
        <f>Raw_Data!K93</f>
        <v/>
      </c>
      <c r="L93" s="11">
        <f>Raw_Data!L93</f>
        <v/>
      </c>
      <c r="M93" s="10">
        <f>Raw_Data!M93</f>
        <v/>
      </c>
      <c r="N93" s="10">
        <f>Raw_Data!N93</f>
        <v/>
      </c>
      <c r="O93" s="10">
        <f>Raw_Data!O93</f>
        <v/>
      </c>
      <c r="P93" s="11">
        <f>Raw_Data!P93</f>
        <v/>
      </c>
      <c r="R93" s="9">
        <f>IFERROR(Cleaned_Data!M93/Cleaned_Data!K93,0)</f>
        <v/>
      </c>
    </row>
    <row r="94">
      <c r="A94" s="7">
        <f>Raw_Data!A94</f>
        <v/>
      </c>
      <c r="B94" s="8">
        <f>Raw_Data!B94</f>
        <v/>
      </c>
      <c r="C94" s="8">
        <f>Raw_Data!C94</f>
        <v/>
      </c>
      <c r="D94" s="7">
        <f>Raw_Data!D94</f>
        <v/>
      </c>
      <c r="E94" s="7">
        <f>Raw_Data!E94</f>
        <v/>
      </c>
      <c r="F94" s="8">
        <f>Raw_Data!F94</f>
        <v/>
      </c>
      <c r="G94" s="8">
        <f>Raw_Data!G94</f>
        <v/>
      </c>
      <c r="H94" s="7">
        <f>Raw_Data!H94</f>
        <v/>
      </c>
      <c r="I94" s="7">
        <f>Raw_Data!I94</f>
        <v/>
      </c>
      <c r="J94" s="8">
        <f>Raw_Data!J94</f>
        <v/>
      </c>
      <c r="K94" s="8">
        <f>Raw_Data!K94</f>
        <v/>
      </c>
      <c r="L94" s="8">
        <f>Raw_Data!L94</f>
        <v/>
      </c>
      <c r="M94" s="7">
        <f>Raw_Data!M94</f>
        <v/>
      </c>
      <c r="N94" s="7">
        <f>Raw_Data!N94</f>
        <v/>
      </c>
      <c r="O94" s="7">
        <f>Raw_Data!O94</f>
        <v/>
      </c>
      <c r="P94" s="8">
        <f>Raw_Data!P94</f>
        <v/>
      </c>
      <c r="R94" s="9">
        <f>IFERROR(Cleaned_Data!M94/Cleaned_Data!K94,0)</f>
        <v/>
      </c>
    </row>
    <row r="95">
      <c r="A95" s="10">
        <f>Raw_Data!A95</f>
        <v/>
      </c>
      <c r="B95" s="11">
        <f>Raw_Data!B95</f>
        <v/>
      </c>
      <c r="C95" s="11">
        <f>Raw_Data!C95</f>
        <v/>
      </c>
      <c r="D95" s="10">
        <f>Raw_Data!D95</f>
        <v/>
      </c>
      <c r="E95" s="10">
        <f>Raw_Data!E95</f>
        <v/>
      </c>
      <c r="F95" s="11">
        <f>Raw_Data!F95</f>
        <v/>
      </c>
      <c r="G95" s="11">
        <f>Raw_Data!G95</f>
        <v/>
      </c>
      <c r="H95" s="10">
        <f>Raw_Data!H95</f>
        <v/>
      </c>
      <c r="I95" s="10">
        <f>Raw_Data!I95</f>
        <v/>
      </c>
      <c r="J95" s="11">
        <f>Raw_Data!J95</f>
        <v/>
      </c>
      <c r="K95" s="11">
        <f>Raw_Data!K95</f>
        <v/>
      </c>
      <c r="L95" s="11">
        <f>Raw_Data!L95</f>
        <v/>
      </c>
      <c r="M95" s="10">
        <f>Raw_Data!M95</f>
        <v/>
      </c>
      <c r="N95" s="10">
        <f>Raw_Data!N95</f>
        <v/>
      </c>
      <c r="O95" s="10">
        <f>Raw_Data!O95</f>
        <v/>
      </c>
      <c r="P95" s="11">
        <f>Raw_Data!P95</f>
        <v/>
      </c>
      <c r="R95" s="9">
        <f>IFERROR(Cleaned_Data!M95/Cleaned_Data!K95,0)</f>
        <v/>
      </c>
    </row>
    <row r="96">
      <c r="A96" s="7">
        <f>Raw_Data!A96</f>
        <v/>
      </c>
      <c r="B96" s="8">
        <f>Raw_Data!B96</f>
        <v/>
      </c>
      <c r="C96" s="8">
        <f>Raw_Data!C96</f>
        <v/>
      </c>
      <c r="D96" s="7">
        <f>Raw_Data!D96</f>
        <v/>
      </c>
      <c r="E96" s="7">
        <f>Raw_Data!E96</f>
        <v/>
      </c>
      <c r="F96" s="8">
        <f>Raw_Data!F96</f>
        <v/>
      </c>
      <c r="G96" s="8">
        <f>Raw_Data!G96</f>
        <v/>
      </c>
      <c r="H96" s="7">
        <f>Raw_Data!H96</f>
        <v/>
      </c>
      <c r="I96" s="7">
        <f>Raw_Data!I96</f>
        <v/>
      </c>
      <c r="J96" s="8">
        <f>Raw_Data!J96</f>
        <v/>
      </c>
      <c r="K96" s="8">
        <f>Raw_Data!K96</f>
        <v/>
      </c>
      <c r="L96" s="8">
        <f>Raw_Data!L96</f>
        <v/>
      </c>
      <c r="M96" s="7">
        <f>Raw_Data!M96</f>
        <v/>
      </c>
      <c r="N96" s="7">
        <f>Raw_Data!N96</f>
        <v/>
      </c>
      <c r="O96" s="7">
        <f>Raw_Data!O96</f>
        <v/>
      </c>
      <c r="P96" s="8">
        <f>Raw_Data!P96</f>
        <v/>
      </c>
      <c r="R96" s="9">
        <f>IFERROR(Cleaned_Data!M96/Cleaned_Data!K96,0)</f>
        <v/>
      </c>
    </row>
    <row r="97">
      <c r="A97" s="10">
        <f>Raw_Data!A97</f>
        <v/>
      </c>
      <c r="B97" s="11">
        <f>Raw_Data!B97</f>
        <v/>
      </c>
      <c r="C97" s="11">
        <f>Raw_Data!C97</f>
        <v/>
      </c>
      <c r="D97" s="10">
        <f>Raw_Data!D97</f>
        <v/>
      </c>
      <c r="E97" s="10">
        <f>Raw_Data!E97</f>
        <v/>
      </c>
      <c r="F97" s="11">
        <f>Raw_Data!F97</f>
        <v/>
      </c>
      <c r="G97" s="11">
        <f>Raw_Data!G97</f>
        <v/>
      </c>
      <c r="H97" s="10">
        <f>Raw_Data!H97</f>
        <v/>
      </c>
      <c r="I97" s="10">
        <f>Raw_Data!I97</f>
        <v/>
      </c>
      <c r="J97" s="11">
        <f>Raw_Data!J97</f>
        <v/>
      </c>
      <c r="K97" s="11">
        <f>Raw_Data!K97</f>
        <v/>
      </c>
      <c r="L97" s="11">
        <f>Raw_Data!L97</f>
        <v/>
      </c>
      <c r="M97" s="10">
        <f>Raw_Data!M97</f>
        <v/>
      </c>
      <c r="N97" s="10">
        <f>Raw_Data!N97</f>
        <v/>
      </c>
      <c r="O97" s="10">
        <f>Raw_Data!O97</f>
        <v/>
      </c>
      <c r="P97" s="11">
        <f>Raw_Data!P97</f>
        <v/>
      </c>
      <c r="R97" s="9">
        <f>IFERROR(Cleaned_Data!M97/Cleaned_Data!K97,0)</f>
        <v/>
      </c>
    </row>
    <row r="98">
      <c r="A98" s="7">
        <f>Raw_Data!A98</f>
        <v/>
      </c>
      <c r="B98" s="8">
        <f>Raw_Data!B98</f>
        <v/>
      </c>
      <c r="C98" s="8">
        <f>Raw_Data!C98</f>
        <v/>
      </c>
      <c r="D98" s="7">
        <f>Raw_Data!D98</f>
        <v/>
      </c>
      <c r="E98" s="7">
        <f>Raw_Data!E98</f>
        <v/>
      </c>
      <c r="F98" s="8">
        <f>Raw_Data!F98</f>
        <v/>
      </c>
      <c r="G98" s="8">
        <f>Raw_Data!G98</f>
        <v/>
      </c>
      <c r="H98" s="7">
        <f>Raw_Data!H98</f>
        <v/>
      </c>
      <c r="I98" s="7">
        <f>Raw_Data!I98</f>
        <v/>
      </c>
      <c r="J98" s="8">
        <f>Raw_Data!J98</f>
        <v/>
      </c>
      <c r="K98" s="8">
        <f>Raw_Data!K98</f>
        <v/>
      </c>
      <c r="L98" s="8">
        <f>Raw_Data!L98</f>
        <v/>
      </c>
      <c r="M98" s="7">
        <f>Raw_Data!M98</f>
        <v/>
      </c>
      <c r="N98" s="7">
        <f>Raw_Data!N98</f>
        <v/>
      </c>
      <c r="O98" s="7">
        <f>Raw_Data!O98</f>
        <v/>
      </c>
      <c r="P98" s="8">
        <f>Raw_Data!P98</f>
        <v/>
      </c>
      <c r="R98" s="9">
        <f>IFERROR(Cleaned_Data!M98/Cleaned_Data!K98,0)</f>
        <v/>
      </c>
    </row>
    <row r="99">
      <c r="A99" s="10">
        <f>Raw_Data!A99</f>
        <v/>
      </c>
      <c r="B99" s="11">
        <f>Raw_Data!B99</f>
        <v/>
      </c>
      <c r="C99" s="11">
        <f>Raw_Data!C99</f>
        <v/>
      </c>
      <c r="D99" s="10">
        <f>Raw_Data!D99</f>
        <v/>
      </c>
      <c r="E99" s="10">
        <f>Raw_Data!E99</f>
        <v/>
      </c>
      <c r="F99" s="11">
        <f>Raw_Data!F99</f>
        <v/>
      </c>
      <c r="G99" s="11">
        <f>Raw_Data!G99</f>
        <v/>
      </c>
      <c r="H99" s="10">
        <f>Raw_Data!H99</f>
        <v/>
      </c>
      <c r="I99" s="10">
        <f>Raw_Data!I99</f>
        <v/>
      </c>
      <c r="J99" s="11">
        <f>Raw_Data!J99</f>
        <v/>
      </c>
      <c r="K99" s="11">
        <f>Raw_Data!K99</f>
        <v/>
      </c>
      <c r="L99" s="11">
        <f>Raw_Data!L99</f>
        <v/>
      </c>
      <c r="M99" s="10">
        <f>Raw_Data!M99</f>
        <v/>
      </c>
      <c r="N99" s="10">
        <f>Raw_Data!N99</f>
        <v/>
      </c>
      <c r="O99" s="10">
        <f>Raw_Data!O99</f>
        <v/>
      </c>
      <c r="P99" s="11">
        <f>Raw_Data!P99</f>
        <v/>
      </c>
      <c r="R99" s="9">
        <f>IFERROR(Cleaned_Data!M99/Cleaned_Data!K99,0)</f>
        <v/>
      </c>
    </row>
    <row r="100">
      <c r="A100" s="7">
        <f>Raw_Data!A100</f>
        <v/>
      </c>
      <c r="B100" s="8">
        <f>Raw_Data!B100</f>
        <v/>
      </c>
      <c r="C100" s="8">
        <f>Raw_Data!C100</f>
        <v/>
      </c>
      <c r="D100" s="7">
        <f>Raw_Data!D100</f>
        <v/>
      </c>
      <c r="E100" s="7">
        <f>Raw_Data!E100</f>
        <v/>
      </c>
      <c r="F100" s="8">
        <f>Raw_Data!F100</f>
        <v/>
      </c>
      <c r="G100" s="8">
        <f>Raw_Data!G100</f>
        <v/>
      </c>
      <c r="H100" s="7">
        <f>Raw_Data!H100</f>
        <v/>
      </c>
      <c r="I100" s="7">
        <f>Raw_Data!I100</f>
        <v/>
      </c>
      <c r="J100" s="8">
        <f>Raw_Data!J100</f>
        <v/>
      </c>
      <c r="K100" s="8">
        <f>Raw_Data!K100</f>
        <v/>
      </c>
      <c r="L100" s="8">
        <f>Raw_Data!L100</f>
        <v/>
      </c>
      <c r="M100" s="7">
        <f>Raw_Data!M100</f>
        <v/>
      </c>
      <c r="N100" s="7">
        <f>Raw_Data!N100</f>
        <v/>
      </c>
      <c r="O100" s="7">
        <f>Raw_Data!O100</f>
        <v/>
      </c>
      <c r="P100" s="8">
        <f>Raw_Data!P100</f>
        <v/>
      </c>
      <c r="R100" s="9">
        <f>IFERROR(Cleaned_Data!M100/Cleaned_Data!K100,0)</f>
        <v/>
      </c>
    </row>
    <row r="101">
      <c r="A101" s="10">
        <f>Raw_Data!A101</f>
        <v/>
      </c>
      <c r="B101" s="11">
        <f>Raw_Data!B101</f>
        <v/>
      </c>
      <c r="C101" s="11">
        <f>Raw_Data!C101</f>
        <v/>
      </c>
      <c r="D101" s="10">
        <f>Raw_Data!D101</f>
        <v/>
      </c>
      <c r="E101" s="10">
        <f>Raw_Data!E101</f>
        <v/>
      </c>
      <c r="F101" s="11">
        <f>Raw_Data!F101</f>
        <v/>
      </c>
      <c r="G101" s="11">
        <f>Raw_Data!G101</f>
        <v/>
      </c>
      <c r="H101" s="10">
        <f>Raw_Data!H101</f>
        <v/>
      </c>
      <c r="I101" s="10">
        <f>Raw_Data!I101</f>
        <v/>
      </c>
      <c r="J101" s="11">
        <f>Raw_Data!J101</f>
        <v/>
      </c>
      <c r="K101" s="11">
        <f>Raw_Data!K101</f>
        <v/>
      </c>
      <c r="L101" s="11">
        <f>Raw_Data!L101</f>
        <v/>
      </c>
      <c r="M101" s="10">
        <f>Raw_Data!M101</f>
        <v/>
      </c>
      <c r="N101" s="10">
        <f>Raw_Data!N101</f>
        <v/>
      </c>
      <c r="O101" s="10">
        <f>Raw_Data!O101</f>
        <v/>
      </c>
      <c r="P101" s="11">
        <f>Raw_Data!P101</f>
        <v/>
      </c>
      <c r="R101" s="9">
        <f>IFERROR(Cleaned_Data!M101/Cleaned_Data!K101,0)</f>
        <v/>
      </c>
    </row>
    <row r="102">
      <c r="A102" s="7">
        <f>Raw_Data!A102</f>
        <v/>
      </c>
      <c r="B102" s="8">
        <f>Raw_Data!B102</f>
        <v/>
      </c>
      <c r="C102" s="8">
        <f>Raw_Data!C102</f>
        <v/>
      </c>
      <c r="D102" s="7">
        <f>Raw_Data!D102</f>
        <v/>
      </c>
      <c r="E102" s="7">
        <f>Raw_Data!E102</f>
        <v/>
      </c>
      <c r="F102" s="8">
        <f>Raw_Data!F102</f>
        <v/>
      </c>
      <c r="G102" s="8">
        <f>Raw_Data!G102</f>
        <v/>
      </c>
      <c r="H102" s="7">
        <f>Raw_Data!H102</f>
        <v/>
      </c>
      <c r="I102" s="7">
        <f>Raw_Data!I102</f>
        <v/>
      </c>
      <c r="J102" s="8">
        <f>Raw_Data!J102</f>
        <v/>
      </c>
      <c r="K102" s="8">
        <f>Raw_Data!K102</f>
        <v/>
      </c>
      <c r="L102" s="8">
        <f>Raw_Data!L102</f>
        <v/>
      </c>
      <c r="M102" s="7">
        <f>Raw_Data!M102</f>
        <v/>
      </c>
      <c r="N102" s="7">
        <f>Raw_Data!N102</f>
        <v/>
      </c>
      <c r="O102" s="7">
        <f>Raw_Data!O102</f>
        <v/>
      </c>
      <c r="P102" s="8">
        <f>Raw_Data!P102</f>
        <v/>
      </c>
      <c r="R102" s="9">
        <f>IFERROR(Cleaned_Data!M102/Cleaned_Data!K102,0)</f>
        <v/>
      </c>
    </row>
    <row r="103">
      <c r="A103" s="10">
        <f>Raw_Data!A103</f>
        <v/>
      </c>
      <c r="B103" s="11">
        <f>Raw_Data!B103</f>
        <v/>
      </c>
      <c r="C103" s="11">
        <f>Raw_Data!C103</f>
        <v/>
      </c>
      <c r="D103" s="10">
        <f>Raw_Data!D103</f>
        <v/>
      </c>
      <c r="E103" s="10">
        <f>Raw_Data!E103</f>
        <v/>
      </c>
      <c r="F103" s="11">
        <f>Raw_Data!F103</f>
        <v/>
      </c>
      <c r="G103" s="11">
        <f>Raw_Data!G103</f>
        <v/>
      </c>
      <c r="H103" s="10">
        <f>Raw_Data!H103</f>
        <v/>
      </c>
      <c r="I103" s="10">
        <f>Raw_Data!I103</f>
        <v/>
      </c>
      <c r="J103" s="11">
        <f>Raw_Data!J103</f>
        <v/>
      </c>
      <c r="K103" s="11">
        <f>Raw_Data!K103</f>
        <v/>
      </c>
      <c r="L103" s="11">
        <f>Raw_Data!L103</f>
        <v/>
      </c>
      <c r="M103" s="10">
        <f>Raw_Data!M103</f>
        <v/>
      </c>
      <c r="N103" s="10">
        <f>Raw_Data!N103</f>
        <v/>
      </c>
      <c r="O103" s="10">
        <f>Raw_Data!O103</f>
        <v/>
      </c>
      <c r="P103" s="11">
        <f>Raw_Data!P103</f>
        <v/>
      </c>
      <c r="R103" s="9">
        <f>IFERROR(Cleaned_Data!M103/Cleaned_Data!K103,0)</f>
        <v/>
      </c>
    </row>
    <row r="104">
      <c r="A104" s="7">
        <f>Raw_Data!A104</f>
        <v/>
      </c>
      <c r="B104" s="8">
        <f>Raw_Data!B104</f>
        <v/>
      </c>
      <c r="C104" s="8">
        <f>Raw_Data!C104</f>
        <v/>
      </c>
      <c r="D104" s="7">
        <f>Raw_Data!D104</f>
        <v/>
      </c>
      <c r="E104" s="7">
        <f>Raw_Data!E104</f>
        <v/>
      </c>
      <c r="F104" s="8">
        <f>Raw_Data!F104</f>
        <v/>
      </c>
      <c r="G104" s="8">
        <f>Raw_Data!G104</f>
        <v/>
      </c>
      <c r="H104" s="7">
        <f>Raw_Data!H104</f>
        <v/>
      </c>
      <c r="I104" s="7">
        <f>Raw_Data!I104</f>
        <v/>
      </c>
      <c r="J104" s="8">
        <f>Raw_Data!J104</f>
        <v/>
      </c>
      <c r="K104" s="8">
        <f>Raw_Data!K104</f>
        <v/>
      </c>
      <c r="L104" s="8">
        <f>Raw_Data!L104</f>
        <v/>
      </c>
      <c r="M104" s="7">
        <f>Raw_Data!M104</f>
        <v/>
      </c>
      <c r="N104" s="7">
        <f>Raw_Data!N104</f>
        <v/>
      </c>
      <c r="O104" s="7">
        <f>Raw_Data!O104</f>
        <v/>
      </c>
      <c r="P104" s="8">
        <f>Raw_Data!P104</f>
        <v/>
      </c>
      <c r="R104" s="9">
        <f>IFERROR(Cleaned_Data!M104/Cleaned_Data!K104,0)</f>
        <v/>
      </c>
    </row>
    <row r="105">
      <c r="A105" s="10">
        <f>Raw_Data!A105</f>
        <v/>
      </c>
      <c r="B105" s="11">
        <f>Raw_Data!B105</f>
        <v/>
      </c>
      <c r="C105" s="11">
        <f>Raw_Data!C105</f>
        <v/>
      </c>
      <c r="D105" s="10">
        <f>Raw_Data!D105</f>
        <v/>
      </c>
      <c r="E105" s="10">
        <f>Raw_Data!E105</f>
        <v/>
      </c>
      <c r="F105" s="11">
        <f>Raw_Data!F105</f>
        <v/>
      </c>
      <c r="G105" s="11">
        <f>Raw_Data!G105</f>
        <v/>
      </c>
      <c r="H105" s="10">
        <f>Raw_Data!H105</f>
        <v/>
      </c>
      <c r="I105" s="10">
        <f>Raw_Data!I105</f>
        <v/>
      </c>
      <c r="J105" s="11">
        <f>Raw_Data!J105</f>
        <v/>
      </c>
      <c r="K105" s="11">
        <f>Raw_Data!K105</f>
        <v/>
      </c>
      <c r="L105" s="11">
        <f>Raw_Data!L105</f>
        <v/>
      </c>
      <c r="M105" s="10">
        <f>Raw_Data!M105</f>
        <v/>
      </c>
      <c r="N105" s="10">
        <f>Raw_Data!N105</f>
        <v/>
      </c>
      <c r="O105" s="10">
        <f>Raw_Data!O105</f>
        <v/>
      </c>
      <c r="P105" s="11">
        <f>Raw_Data!P105</f>
        <v/>
      </c>
      <c r="R105" s="9">
        <f>IFERROR(Cleaned_Data!M105/Cleaned_Data!K105,0)</f>
        <v/>
      </c>
    </row>
    <row r="106">
      <c r="A106" s="7">
        <f>Raw_Data!A106</f>
        <v/>
      </c>
      <c r="B106" s="8">
        <f>Raw_Data!B106</f>
        <v/>
      </c>
      <c r="C106" s="8">
        <f>Raw_Data!C106</f>
        <v/>
      </c>
      <c r="D106" s="7">
        <f>Raw_Data!D106</f>
        <v/>
      </c>
      <c r="E106" s="7">
        <f>Raw_Data!E106</f>
        <v/>
      </c>
      <c r="F106" s="8">
        <f>Raw_Data!F106</f>
        <v/>
      </c>
      <c r="G106" s="8">
        <f>Raw_Data!G106</f>
        <v/>
      </c>
      <c r="H106" s="7">
        <f>Raw_Data!H106</f>
        <v/>
      </c>
      <c r="I106" s="7">
        <f>Raw_Data!I106</f>
        <v/>
      </c>
      <c r="J106" s="8">
        <f>Raw_Data!J106</f>
        <v/>
      </c>
      <c r="K106" s="8">
        <f>Raw_Data!K106</f>
        <v/>
      </c>
      <c r="L106" s="8">
        <f>Raw_Data!L106</f>
        <v/>
      </c>
      <c r="M106" s="7">
        <f>Raw_Data!M106</f>
        <v/>
      </c>
      <c r="N106" s="7">
        <f>Raw_Data!N106</f>
        <v/>
      </c>
      <c r="O106" s="7">
        <f>Raw_Data!O106</f>
        <v/>
      </c>
      <c r="P106" s="8">
        <f>Raw_Data!P106</f>
        <v/>
      </c>
      <c r="R106" s="9">
        <f>IFERROR(Cleaned_Data!M106/Cleaned_Data!K106,0)</f>
        <v/>
      </c>
    </row>
    <row r="107">
      <c r="A107" s="10">
        <f>Raw_Data!A107</f>
        <v/>
      </c>
      <c r="B107" s="11">
        <f>Raw_Data!B107</f>
        <v/>
      </c>
      <c r="C107" s="11">
        <f>Raw_Data!C107</f>
        <v/>
      </c>
      <c r="D107" s="10">
        <f>Raw_Data!D107</f>
        <v/>
      </c>
      <c r="E107" s="10">
        <f>Raw_Data!E107</f>
        <v/>
      </c>
      <c r="F107" s="11">
        <f>Raw_Data!F107</f>
        <v/>
      </c>
      <c r="G107" s="11">
        <f>Raw_Data!G107</f>
        <v/>
      </c>
      <c r="H107" s="10">
        <f>Raw_Data!H107</f>
        <v/>
      </c>
      <c r="I107" s="10">
        <f>Raw_Data!I107</f>
        <v/>
      </c>
      <c r="J107" s="11">
        <f>Raw_Data!J107</f>
        <v/>
      </c>
      <c r="K107" s="11">
        <f>Raw_Data!K107</f>
        <v/>
      </c>
      <c r="L107" s="11">
        <f>Raw_Data!L107</f>
        <v/>
      </c>
      <c r="M107" s="10">
        <f>Raw_Data!M107</f>
        <v/>
      </c>
      <c r="N107" s="10">
        <f>Raw_Data!N107</f>
        <v/>
      </c>
      <c r="O107" s="10">
        <f>Raw_Data!O107</f>
        <v/>
      </c>
      <c r="P107" s="11">
        <f>Raw_Data!P107</f>
        <v/>
      </c>
      <c r="R107" s="9">
        <f>IFERROR(Cleaned_Data!M107/Cleaned_Data!K107,0)</f>
        <v/>
      </c>
    </row>
    <row r="108">
      <c r="A108" s="7">
        <f>Raw_Data!A108</f>
        <v/>
      </c>
      <c r="B108" s="8">
        <f>Raw_Data!B108</f>
        <v/>
      </c>
      <c r="C108" s="8">
        <f>Raw_Data!C108</f>
        <v/>
      </c>
      <c r="D108" s="7">
        <f>Raw_Data!D108</f>
        <v/>
      </c>
      <c r="E108" s="7">
        <f>Raw_Data!E108</f>
        <v/>
      </c>
      <c r="F108" s="8">
        <f>Raw_Data!F108</f>
        <v/>
      </c>
      <c r="G108" s="8">
        <f>Raw_Data!G108</f>
        <v/>
      </c>
      <c r="H108" s="7">
        <f>Raw_Data!H108</f>
        <v/>
      </c>
      <c r="I108" s="7">
        <f>Raw_Data!I108</f>
        <v/>
      </c>
      <c r="J108" s="8">
        <f>Raw_Data!J108</f>
        <v/>
      </c>
      <c r="K108" s="8">
        <f>Raw_Data!K108</f>
        <v/>
      </c>
      <c r="L108" s="8">
        <f>Raw_Data!L108</f>
        <v/>
      </c>
      <c r="M108" s="7">
        <f>Raw_Data!M108</f>
        <v/>
      </c>
      <c r="N108" s="7">
        <f>Raw_Data!N108</f>
        <v/>
      </c>
      <c r="O108" s="7">
        <f>Raw_Data!O108</f>
        <v/>
      </c>
      <c r="P108" s="8">
        <f>Raw_Data!P108</f>
        <v/>
      </c>
      <c r="R108" s="9">
        <f>IFERROR(Cleaned_Data!M108/Cleaned_Data!K108,0)</f>
        <v/>
      </c>
    </row>
    <row r="109">
      <c r="A109" s="10">
        <f>Raw_Data!A109</f>
        <v/>
      </c>
      <c r="B109" s="11">
        <f>Raw_Data!B109</f>
        <v/>
      </c>
      <c r="C109" s="11">
        <f>Raw_Data!C109</f>
        <v/>
      </c>
      <c r="D109" s="10">
        <f>Raw_Data!D109</f>
        <v/>
      </c>
      <c r="E109" s="10">
        <f>Raw_Data!E109</f>
        <v/>
      </c>
      <c r="F109" s="11">
        <f>Raw_Data!F109</f>
        <v/>
      </c>
      <c r="G109" s="11">
        <f>Raw_Data!G109</f>
        <v/>
      </c>
      <c r="H109" s="10">
        <f>Raw_Data!H109</f>
        <v/>
      </c>
      <c r="I109" s="10">
        <f>Raw_Data!I109</f>
        <v/>
      </c>
      <c r="J109" s="11">
        <f>Raw_Data!J109</f>
        <v/>
      </c>
      <c r="K109" s="11">
        <f>Raw_Data!K109</f>
        <v/>
      </c>
      <c r="L109" s="11">
        <f>Raw_Data!L109</f>
        <v/>
      </c>
      <c r="M109" s="10">
        <f>Raw_Data!M109</f>
        <v/>
      </c>
      <c r="N109" s="10">
        <f>Raw_Data!N109</f>
        <v/>
      </c>
      <c r="O109" s="10">
        <f>Raw_Data!O109</f>
        <v/>
      </c>
      <c r="P109" s="11">
        <f>Raw_Data!P109</f>
        <v/>
      </c>
      <c r="R109" s="9">
        <f>IFERROR(Cleaned_Data!M109/Cleaned_Data!K109,0)</f>
        <v/>
      </c>
    </row>
    <row r="110">
      <c r="A110" s="7">
        <f>Raw_Data!A110</f>
        <v/>
      </c>
      <c r="B110" s="8">
        <f>Raw_Data!B110</f>
        <v/>
      </c>
      <c r="C110" s="8">
        <f>Raw_Data!C110</f>
        <v/>
      </c>
      <c r="D110" s="7">
        <f>Raw_Data!D110</f>
        <v/>
      </c>
      <c r="E110" s="7">
        <f>Raw_Data!E110</f>
        <v/>
      </c>
      <c r="F110" s="8">
        <f>Raw_Data!F110</f>
        <v/>
      </c>
      <c r="G110" s="8">
        <f>Raw_Data!G110</f>
        <v/>
      </c>
      <c r="H110" s="7">
        <f>Raw_Data!H110</f>
        <v/>
      </c>
      <c r="I110" s="7">
        <f>Raw_Data!I110</f>
        <v/>
      </c>
      <c r="J110" s="8">
        <f>Raw_Data!J110</f>
        <v/>
      </c>
      <c r="K110" s="8">
        <f>Raw_Data!K110</f>
        <v/>
      </c>
      <c r="L110" s="8">
        <f>Raw_Data!L110</f>
        <v/>
      </c>
      <c r="M110" s="7">
        <f>Raw_Data!M110</f>
        <v/>
      </c>
      <c r="N110" s="7">
        <f>Raw_Data!N110</f>
        <v/>
      </c>
      <c r="O110" s="7">
        <f>Raw_Data!O110</f>
        <v/>
      </c>
      <c r="P110" s="8">
        <f>Raw_Data!P110</f>
        <v/>
      </c>
      <c r="R110" s="9">
        <f>IFERROR(Cleaned_Data!M110/Cleaned_Data!K110,0)</f>
        <v/>
      </c>
    </row>
    <row r="111">
      <c r="A111" s="10">
        <f>Raw_Data!A111</f>
        <v/>
      </c>
      <c r="B111" s="11">
        <f>Raw_Data!B111</f>
        <v/>
      </c>
      <c r="C111" s="11">
        <f>Raw_Data!C111</f>
        <v/>
      </c>
      <c r="D111" s="10">
        <f>Raw_Data!D111</f>
        <v/>
      </c>
      <c r="E111" s="10">
        <f>Raw_Data!E111</f>
        <v/>
      </c>
      <c r="F111" s="11">
        <f>Raw_Data!F111</f>
        <v/>
      </c>
      <c r="G111" s="11">
        <f>Raw_Data!G111</f>
        <v/>
      </c>
      <c r="H111" s="10">
        <f>Raw_Data!H111</f>
        <v/>
      </c>
      <c r="I111" s="10">
        <f>Raw_Data!I111</f>
        <v/>
      </c>
      <c r="J111" s="11">
        <f>Raw_Data!J111</f>
        <v/>
      </c>
      <c r="K111" s="11">
        <f>Raw_Data!K111</f>
        <v/>
      </c>
      <c r="L111" s="11">
        <f>Raw_Data!L111</f>
        <v/>
      </c>
      <c r="M111" s="10">
        <f>Raw_Data!M111</f>
        <v/>
      </c>
      <c r="N111" s="10">
        <f>Raw_Data!N111</f>
        <v/>
      </c>
      <c r="O111" s="10">
        <f>Raw_Data!O111</f>
        <v/>
      </c>
      <c r="P111" s="11">
        <f>Raw_Data!P111</f>
        <v/>
      </c>
      <c r="R111" s="9">
        <f>IFERROR(Cleaned_Data!M111/Cleaned_Data!K111,0)</f>
        <v/>
      </c>
    </row>
    <row r="112">
      <c r="A112" s="7">
        <f>Raw_Data!A112</f>
        <v/>
      </c>
      <c r="B112" s="8">
        <f>Raw_Data!B112</f>
        <v/>
      </c>
      <c r="C112" s="8">
        <f>Raw_Data!C112</f>
        <v/>
      </c>
      <c r="D112" s="7">
        <f>Raw_Data!D112</f>
        <v/>
      </c>
      <c r="E112" s="7">
        <f>Raw_Data!E112</f>
        <v/>
      </c>
      <c r="F112" s="8">
        <f>Raw_Data!F112</f>
        <v/>
      </c>
      <c r="G112" s="8">
        <f>Raw_Data!G112</f>
        <v/>
      </c>
      <c r="H112" s="7">
        <f>Raw_Data!H112</f>
        <v/>
      </c>
      <c r="I112" s="7">
        <f>Raw_Data!I112</f>
        <v/>
      </c>
      <c r="J112" s="8">
        <f>Raw_Data!J112</f>
        <v/>
      </c>
      <c r="K112" s="8">
        <f>Raw_Data!K112</f>
        <v/>
      </c>
      <c r="L112" s="8">
        <f>Raw_Data!L112</f>
        <v/>
      </c>
      <c r="M112" s="7">
        <f>Raw_Data!M112</f>
        <v/>
      </c>
      <c r="N112" s="7">
        <f>Raw_Data!N112</f>
        <v/>
      </c>
      <c r="O112" s="7">
        <f>Raw_Data!O112</f>
        <v/>
      </c>
      <c r="P112" s="8">
        <f>Raw_Data!P112</f>
        <v/>
      </c>
      <c r="R112" s="9">
        <f>IFERROR(Cleaned_Data!M112/Cleaned_Data!K112,0)</f>
        <v/>
      </c>
    </row>
    <row r="113">
      <c r="A113" s="10">
        <f>Raw_Data!A113</f>
        <v/>
      </c>
      <c r="B113" s="11">
        <f>Raw_Data!B113</f>
        <v/>
      </c>
      <c r="C113" s="11">
        <f>Raw_Data!C113</f>
        <v/>
      </c>
      <c r="D113" s="10">
        <f>Raw_Data!D113</f>
        <v/>
      </c>
      <c r="E113" s="10">
        <f>Raw_Data!E113</f>
        <v/>
      </c>
      <c r="F113" s="11">
        <f>Raw_Data!F113</f>
        <v/>
      </c>
      <c r="G113" s="11">
        <f>Raw_Data!G113</f>
        <v/>
      </c>
      <c r="H113" s="10">
        <f>Raw_Data!H113</f>
        <v/>
      </c>
      <c r="I113" s="10">
        <f>Raw_Data!I113</f>
        <v/>
      </c>
      <c r="J113" s="11">
        <f>Raw_Data!J113</f>
        <v/>
      </c>
      <c r="K113" s="11">
        <f>Raw_Data!K113</f>
        <v/>
      </c>
      <c r="L113" s="11">
        <f>Raw_Data!L113</f>
        <v/>
      </c>
      <c r="M113" s="10">
        <f>Raw_Data!M113</f>
        <v/>
      </c>
      <c r="N113" s="10">
        <f>Raw_Data!N113</f>
        <v/>
      </c>
      <c r="O113" s="10">
        <f>Raw_Data!O113</f>
        <v/>
      </c>
      <c r="P113" s="11">
        <f>Raw_Data!P113</f>
        <v/>
      </c>
      <c r="R113" s="9">
        <f>IFERROR(Cleaned_Data!M113/Cleaned_Data!K113,0)</f>
        <v/>
      </c>
    </row>
    <row r="114">
      <c r="A114" s="7">
        <f>Raw_Data!A114</f>
        <v/>
      </c>
      <c r="B114" s="8">
        <f>Raw_Data!B114</f>
        <v/>
      </c>
      <c r="C114" s="8">
        <f>Raw_Data!C114</f>
        <v/>
      </c>
      <c r="D114" s="7">
        <f>Raw_Data!D114</f>
        <v/>
      </c>
      <c r="E114" s="7">
        <f>Raw_Data!E114</f>
        <v/>
      </c>
      <c r="F114" s="8">
        <f>Raw_Data!F114</f>
        <v/>
      </c>
      <c r="G114" s="8">
        <f>Raw_Data!G114</f>
        <v/>
      </c>
      <c r="H114" s="7">
        <f>Raw_Data!H114</f>
        <v/>
      </c>
      <c r="I114" s="7">
        <f>Raw_Data!I114</f>
        <v/>
      </c>
      <c r="J114" s="8">
        <f>Raw_Data!J114</f>
        <v/>
      </c>
      <c r="K114" s="8">
        <f>Raw_Data!K114</f>
        <v/>
      </c>
      <c r="L114" s="8">
        <f>Raw_Data!L114</f>
        <v/>
      </c>
      <c r="M114" s="7">
        <f>Raw_Data!M114</f>
        <v/>
      </c>
      <c r="N114" s="7">
        <f>Raw_Data!N114</f>
        <v/>
      </c>
      <c r="O114" s="7">
        <f>Raw_Data!O114</f>
        <v/>
      </c>
      <c r="P114" s="8">
        <f>Raw_Data!P114</f>
        <v/>
      </c>
      <c r="R114" s="9">
        <f>IFERROR(Cleaned_Data!M114/Cleaned_Data!K114,0)</f>
        <v/>
      </c>
    </row>
    <row r="115">
      <c r="A115" s="10">
        <f>Raw_Data!A115</f>
        <v/>
      </c>
      <c r="B115" s="11">
        <f>Raw_Data!B115</f>
        <v/>
      </c>
      <c r="C115" s="11">
        <f>Raw_Data!C115</f>
        <v/>
      </c>
      <c r="D115" s="10">
        <f>Raw_Data!D115</f>
        <v/>
      </c>
      <c r="E115" s="10">
        <f>Raw_Data!E115</f>
        <v/>
      </c>
      <c r="F115" s="11">
        <f>Raw_Data!F115</f>
        <v/>
      </c>
      <c r="G115" s="11">
        <f>Raw_Data!G115</f>
        <v/>
      </c>
      <c r="H115" s="10">
        <f>Raw_Data!H115</f>
        <v/>
      </c>
      <c r="I115" s="10">
        <f>Raw_Data!I115</f>
        <v/>
      </c>
      <c r="J115" s="11">
        <f>Raw_Data!J115</f>
        <v/>
      </c>
      <c r="K115" s="11">
        <f>Raw_Data!K115</f>
        <v/>
      </c>
      <c r="L115" s="11">
        <f>Raw_Data!L115</f>
        <v/>
      </c>
      <c r="M115" s="10">
        <f>Raw_Data!M115</f>
        <v/>
      </c>
      <c r="N115" s="10">
        <f>Raw_Data!N115</f>
        <v/>
      </c>
      <c r="O115" s="10">
        <f>Raw_Data!O115</f>
        <v/>
      </c>
      <c r="P115" s="11">
        <f>Raw_Data!P115</f>
        <v/>
      </c>
      <c r="R115" s="9">
        <f>IFERROR(Cleaned_Data!M115/Cleaned_Data!K115,0)</f>
        <v/>
      </c>
    </row>
    <row r="116">
      <c r="A116" s="7">
        <f>Raw_Data!A116</f>
        <v/>
      </c>
      <c r="B116" s="8">
        <f>Raw_Data!B116</f>
        <v/>
      </c>
      <c r="C116" s="8">
        <f>Raw_Data!C116</f>
        <v/>
      </c>
      <c r="D116" s="7">
        <f>Raw_Data!D116</f>
        <v/>
      </c>
      <c r="E116" s="7">
        <f>Raw_Data!E116</f>
        <v/>
      </c>
      <c r="F116" s="8">
        <f>Raw_Data!F116</f>
        <v/>
      </c>
      <c r="G116" s="8">
        <f>Raw_Data!G116</f>
        <v/>
      </c>
      <c r="H116" s="7">
        <f>Raw_Data!H116</f>
        <v/>
      </c>
      <c r="I116" s="7">
        <f>Raw_Data!I116</f>
        <v/>
      </c>
      <c r="J116" s="8">
        <f>Raw_Data!J116</f>
        <v/>
      </c>
      <c r="K116" s="8">
        <f>Raw_Data!K116</f>
        <v/>
      </c>
      <c r="L116" s="8">
        <f>Raw_Data!L116</f>
        <v/>
      </c>
      <c r="M116" s="7">
        <f>Raw_Data!M116</f>
        <v/>
      </c>
      <c r="N116" s="7">
        <f>Raw_Data!N116</f>
        <v/>
      </c>
      <c r="O116" s="7">
        <f>Raw_Data!O116</f>
        <v/>
      </c>
      <c r="P116" s="8">
        <f>Raw_Data!P116</f>
        <v/>
      </c>
      <c r="R116" s="9">
        <f>IFERROR(Cleaned_Data!M116/Cleaned_Data!K116,0)</f>
        <v/>
      </c>
    </row>
    <row r="117">
      <c r="A117" s="10">
        <f>Raw_Data!A117</f>
        <v/>
      </c>
      <c r="B117" s="11">
        <f>Raw_Data!B117</f>
        <v/>
      </c>
      <c r="C117" s="11">
        <f>Raw_Data!C117</f>
        <v/>
      </c>
      <c r="D117" s="10">
        <f>Raw_Data!D117</f>
        <v/>
      </c>
      <c r="E117" s="10">
        <f>Raw_Data!E117</f>
        <v/>
      </c>
      <c r="F117" s="11">
        <f>Raw_Data!F117</f>
        <v/>
      </c>
      <c r="G117" s="11">
        <f>Raw_Data!G117</f>
        <v/>
      </c>
      <c r="H117" s="10">
        <f>Raw_Data!H117</f>
        <v/>
      </c>
      <c r="I117" s="10">
        <f>Raw_Data!I117</f>
        <v/>
      </c>
      <c r="J117" s="11">
        <f>Raw_Data!J117</f>
        <v/>
      </c>
      <c r="K117" s="11">
        <f>Raw_Data!K117</f>
        <v/>
      </c>
      <c r="L117" s="11">
        <f>Raw_Data!L117</f>
        <v/>
      </c>
      <c r="M117" s="10">
        <f>Raw_Data!M117</f>
        <v/>
      </c>
      <c r="N117" s="10">
        <f>Raw_Data!N117</f>
        <v/>
      </c>
      <c r="O117" s="10">
        <f>Raw_Data!O117</f>
        <v/>
      </c>
      <c r="P117" s="11">
        <f>Raw_Data!P117</f>
        <v/>
      </c>
      <c r="R117" s="9">
        <f>IFERROR(Cleaned_Data!M117/Cleaned_Data!K117,0)</f>
        <v/>
      </c>
    </row>
    <row r="118">
      <c r="A118" s="7">
        <f>Raw_Data!A118</f>
        <v/>
      </c>
      <c r="B118" s="8">
        <f>Raw_Data!B118</f>
        <v/>
      </c>
      <c r="C118" s="8">
        <f>Raw_Data!C118</f>
        <v/>
      </c>
      <c r="D118" s="7">
        <f>Raw_Data!D118</f>
        <v/>
      </c>
      <c r="E118" s="7">
        <f>Raw_Data!E118</f>
        <v/>
      </c>
      <c r="F118" s="8">
        <f>Raw_Data!F118</f>
        <v/>
      </c>
      <c r="G118" s="8">
        <f>Raw_Data!G118</f>
        <v/>
      </c>
      <c r="H118" s="7">
        <f>Raw_Data!H118</f>
        <v/>
      </c>
      <c r="I118" s="7">
        <f>Raw_Data!I118</f>
        <v/>
      </c>
      <c r="J118" s="8">
        <f>Raw_Data!J118</f>
        <v/>
      </c>
      <c r="K118" s="8">
        <f>Raw_Data!K118</f>
        <v/>
      </c>
      <c r="L118" s="8">
        <f>Raw_Data!L118</f>
        <v/>
      </c>
      <c r="M118" s="7">
        <f>Raw_Data!M118</f>
        <v/>
      </c>
      <c r="N118" s="7">
        <f>Raw_Data!N118</f>
        <v/>
      </c>
      <c r="O118" s="7">
        <f>Raw_Data!O118</f>
        <v/>
      </c>
      <c r="P118" s="8">
        <f>Raw_Data!P118</f>
        <v/>
      </c>
      <c r="R118" s="9">
        <f>IFERROR(Cleaned_Data!M118/Cleaned_Data!K118,0)</f>
        <v/>
      </c>
    </row>
    <row r="119">
      <c r="A119" s="10">
        <f>Raw_Data!A119</f>
        <v/>
      </c>
      <c r="B119" s="11">
        <f>Raw_Data!B119</f>
        <v/>
      </c>
      <c r="C119" s="11">
        <f>Raw_Data!C119</f>
        <v/>
      </c>
      <c r="D119" s="10">
        <f>Raw_Data!D119</f>
        <v/>
      </c>
      <c r="E119" s="10">
        <f>Raw_Data!E119</f>
        <v/>
      </c>
      <c r="F119" s="11">
        <f>Raw_Data!F119</f>
        <v/>
      </c>
      <c r="G119" s="11">
        <f>Raw_Data!G119</f>
        <v/>
      </c>
      <c r="H119" s="10">
        <f>Raw_Data!H119</f>
        <v/>
      </c>
      <c r="I119" s="10">
        <f>Raw_Data!I119</f>
        <v/>
      </c>
      <c r="J119" s="11">
        <f>Raw_Data!J119</f>
        <v/>
      </c>
      <c r="K119" s="11">
        <f>Raw_Data!K119</f>
        <v/>
      </c>
      <c r="L119" s="11">
        <f>Raw_Data!L119</f>
        <v/>
      </c>
      <c r="M119" s="10">
        <f>Raw_Data!M119</f>
        <v/>
      </c>
      <c r="N119" s="10">
        <f>Raw_Data!N119</f>
        <v/>
      </c>
      <c r="O119" s="10">
        <f>Raw_Data!O119</f>
        <v/>
      </c>
      <c r="P119" s="11">
        <f>Raw_Data!P119</f>
        <v/>
      </c>
      <c r="R119" s="9">
        <f>IFERROR(Cleaned_Data!M119/Cleaned_Data!K119,0)</f>
        <v/>
      </c>
    </row>
    <row r="120">
      <c r="A120" s="7">
        <f>Raw_Data!A120</f>
        <v/>
      </c>
      <c r="B120" s="8">
        <f>Raw_Data!B120</f>
        <v/>
      </c>
      <c r="C120" s="8">
        <f>Raw_Data!C120</f>
        <v/>
      </c>
      <c r="D120" s="7">
        <f>Raw_Data!D120</f>
        <v/>
      </c>
      <c r="E120" s="7">
        <f>Raw_Data!E120</f>
        <v/>
      </c>
      <c r="F120" s="8">
        <f>Raw_Data!F120</f>
        <v/>
      </c>
      <c r="G120" s="8">
        <f>Raw_Data!G120</f>
        <v/>
      </c>
      <c r="H120" s="7">
        <f>Raw_Data!H120</f>
        <v/>
      </c>
      <c r="I120" s="7">
        <f>Raw_Data!I120</f>
        <v/>
      </c>
      <c r="J120" s="8">
        <f>Raw_Data!J120</f>
        <v/>
      </c>
      <c r="K120" s="8">
        <f>Raw_Data!K120</f>
        <v/>
      </c>
      <c r="L120" s="8">
        <f>Raw_Data!L120</f>
        <v/>
      </c>
      <c r="M120" s="7">
        <f>Raw_Data!M120</f>
        <v/>
      </c>
      <c r="N120" s="7">
        <f>Raw_Data!N120</f>
        <v/>
      </c>
      <c r="O120" s="7">
        <f>Raw_Data!O120</f>
        <v/>
      </c>
      <c r="P120" s="8">
        <f>Raw_Data!P120</f>
        <v/>
      </c>
      <c r="R120" s="9">
        <f>IFERROR(Cleaned_Data!M120/Cleaned_Data!K120,0)</f>
        <v/>
      </c>
    </row>
    <row r="121">
      <c r="A121" s="10">
        <f>Raw_Data!A121</f>
        <v/>
      </c>
      <c r="B121" s="11">
        <f>Raw_Data!B121</f>
        <v/>
      </c>
      <c r="C121" s="11">
        <f>Raw_Data!C121</f>
        <v/>
      </c>
      <c r="D121" s="10">
        <f>Raw_Data!D121</f>
        <v/>
      </c>
      <c r="E121" s="10">
        <f>Raw_Data!E121</f>
        <v/>
      </c>
      <c r="F121" s="11">
        <f>Raw_Data!F121</f>
        <v/>
      </c>
      <c r="G121" s="11">
        <f>Raw_Data!G121</f>
        <v/>
      </c>
      <c r="H121" s="10">
        <f>Raw_Data!H121</f>
        <v/>
      </c>
      <c r="I121" s="10">
        <f>Raw_Data!I121</f>
        <v/>
      </c>
      <c r="J121" s="11">
        <f>Raw_Data!J121</f>
        <v/>
      </c>
      <c r="K121" s="11">
        <f>Raw_Data!K121</f>
        <v/>
      </c>
      <c r="L121" s="11">
        <f>Raw_Data!L121</f>
        <v/>
      </c>
      <c r="M121" s="10">
        <f>Raw_Data!M121</f>
        <v/>
      </c>
      <c r="N121" s="10">
        <f>Raw_Data!N121</f>
        <v/>
      </c>
      <c r="O121" s="10">
        <f>Raw_Data!O121</f>
        <v/>
      </c>
      <c r="P121" s="11">
        <f>Raw_Data!P121</f>
        <v/>
      </c>
      <c r="R121" s="9">
        <f>IFERROR(Cleaned_Data!M121/Cleaned_Data!K121,0)</f>
        <v/>
      </c>
    </row>
    <row r="122">
      <c r="A122" s="7">
        <f>Raw_Data!A122</f>
        <v/>
      </c>
      <c r="B122" s="8">
        <f>Raw_Data!B122</f>
        <v/>
      </c>
      <c r="C122" s="8">
        <f>Raw_Data!C122</f>
        <v/>
      </c>
      <c r="D122" s="7">
        <f>Raw_Data!D122</f>
        <v/>
      </c>
      <c r="E122" s="7">
        <f>Raw_Data!E122</f>
        <v/>
      </c>
      <c r="F122" s="8">
        <f>Raw_Data!F122</f>
        <v/>
      </c>
      <c r="G122" s="8">
        <f>Raw_Data!G122</f>
        <v/>
      </c>
      <c r="H122" s="7">
        <f>Raw_Data!H122</f>
        <v/>
      </c>
      <c r="I122" s="7">
        <f>Raw_Data!I122</f>
        <v/>
      </c>
      <c r="J122" s="8">
        <f>Raw_Data!J122</f>
        <v/>
      </c>
      <c r="K122" s="8">
        <f>Raw_Data!K122</f>
        <v/>
      </c>
      <c r="L122" s="8">
        <f>Raw_Data!L122</f>
        <v/>
      </c>
      <c r="M122" s="7">
        <f>Raw_Data!M122</f>
        <v/>
      </c>
      <c r="N122" s="7">
        <f>Raw_Data!N122</f>
        <v/>
      </c>
      <c r="O122" s="7">
        <f>Raw_Data!O122</f>
        <v/>
      </c>
      <c r="P122" s="8">
        <f>Raw_Data!P122</f>
        <v/>
      </c>
      <c r="R122" s="9">
        <f>IFERROR(Cleaned_Data!M122/Cleaned_Data!K122,0)</f>
        <v/>
      </c>
    </row>
    <row r="123">
      <c r="A123" s="10">
        <f>Raw_Data!A123</f>
        <v/>
      </c>
      <c r="B123" s="11">
        <f>Raw_Data!B123</f>
        <v/>
      </c>
      <c r="C123" s="11">
        <f>Raw_Data!C123</f>
        <v/>
      </c>
      <c r="D123" s="10">
        <f>Raw_Data!D123</f>
        <v/>
      </c>
      <c r="E123" s="10">
        <f>Raw_Data!E123</f>
        <v/>
      </c>
      <c r="F123" s="11">
        <f>Raw_Data!F123</f>
        <v/>
      </c>
      <c r="G123" s="11">
        <f>Raw_Data!G123</f>
        <v/>
      </c>
      <c r="H123" s="10">
        <f>Raw_Data!H123</f>
        <v/>
      </c>
      <c r="I123" s="10">
        <f>Raw_Data!I123</f>
        <v/>
      </c>
      <c r="J123" s="11">
        <f>Raw_Data!J123</f>
        <v/>
      </c>
      <c r="K123" s="11">
        <f>Raw_Data!K123</f>
        <v/>
      </c>
      <c r="L123" s="11">
        <f>Raw_Data!L123</f>
        <v/>
      </c>
      <c r="M123" s="10">
        <f>Raw_Data!M123</f>
        <v/>
      </c>
      <c r="N123" s="10">
        <f>Raw_Data!N123</f>
        <v/>
      </c>
      <c r="O123" s="10">
        <f>Raw_Data!O123</f>
        <v/>
      </c>
      <c r="P123" s="11">
        <f>Raw_Data!P123</f>
        <v/>
      </c>
      <c r="R123" s="9">
        <f>IFERROR(Cleaned_Data!M123/Cleaned_Data!K123,0)</f>
        <v/>
      </c>
    </row>
    <row r="124">
      <c r="A124" s="7">
        <f>Raw_Data!A124</f>
        <v/>
      </c>
      <c r="B124" s="8">
        <f>Raw_Data!B124</f>
        <v/>
      </c>
      <c r="C124" s="8">
        <f>Raw_Data!C124</f>
        <v/>
      </c>
      <c r="D124" s="7">
        <f>Raw_Data!D124</f>
        <v/>
      </c>
      <c r="E124" s="7">
        <f>Raw_Data!E124</f>
        <v/>
      </c>
      <c r="F124" s="8">
        <f>Raw_Data!F124</f>
        <v/>
      </c>
      <c r="G124" s="8">
        <f>Raw_Data!G124</f>
        <v/>
      </c>
      <c r="H124" s="7">
        <f>Raw_Data!H124</f>
        <v/>
      </c>
      <c r="I124" s="7">
        <f>Raw_Data!I124</f>
        <v/>
      </c>
      <c r="J124" s="8">
        <f>Raw_Data!J124</f>
        <v/>
      </c>
      <c r="K124" s="8">
        <f>Raw_Data!K124</f>
        <v/>
      </c>
      <c r="L124" s="8">
        <f>Raw_Data!L124</f>
        <v/>
      </c>
      <c r="M124" s="7">
        <f>Raw_Data!M124</f>
        <v/>
      </c>
      <c r="N124" s="7">
        <f>Raw_Data!N124</f>
        <v/>
      </c>
      <c r="O124" s="7">
        <f>Raw_Data!O124</f>
        <v/>
      </c>
      <c r="P124" s="8">
        <f>Raw_Data!P124</f>
        <v/>
      </c>
      <c r="R124" s="9">
        <f>IFERROR(Cleaned_Data!M124/Cleaned_Data!K124,0)</f>
        <v/>
      </c>
    </row>
    <row r="125">
      <c r="A125" s="10">
        <f>Raw_Data!A125</f>
        <v/>
      </c>
      <c r="B125" s="11">
        <f>Raw_Data!B125</f>
        <v/>
      </c>
      <c r="C125" s="11">
        <f>Raw_Data!C125</f>
        <v/>
      </c>
      <c r="D125" s="10">
        <f>Raw_Data!D125</f>
        <v/>
      </c>
      <c r="E125" s="10">
        <f>Raw_Data!E125</f>
        <v/>
      </c>
      <c r="F125" s="11">
        <f>Raw_Data!F125</f>
        <v/>
      </c>
      <c r="G125" s="11">
        <f>Raw_Data!G125</f>
        <v/>
      </c>
      <c r="H125" s="10">
        <f>Raw_Data!H125</f>
        <v/>
      </c>
      <c r="I125" s="10">
        <f>Raw_Data!I125</f>
        <v/>
      </c>
      <c r="J125" s="11">
        <f>Raw_Data!J125</f>
        <v/>
      </c>
      <c r="K125" s="11">
        <f>Raw_Data!K125</f>
        <v/>
      </c>
      <c r="L125" s="11">
        <f>Raw_Data!L125</f>
        <v/>
      </c>
      <c r="M125" s="10">
        <f>Raw_Data!M125</f>
        <v/>
      </c>
      <c r="N125" s="10">
        <f>Raw_Data!N125</f>
        <v/>
      </c>
      <c r="O125" s="10">
        <f>Raw_Data!O125</f>
        <v/>
      </c>
      <c r="P125" s="11">
        <f>Raw_Data!P125</f>
        <v/>
      </c>
      <c r="R125" s="9">
        <f>IFERROR(Cleaned_Data!M125/Cleaned_Data!K125,0)</f>
        <v/>
      </c>
    </row>
    <row r="126">
      <c r="A126" s="7">
        <f>Raw_Data!A126</f>
        <v/>
      </c>
      <c r="B126" s="8">
        <f>Raw_Data!B126</f>
        <v/>
      </c>
      <c r="C126" s="8">
        <f>Raw_Data!C126</f>
        <v/>
      </c>
      <c r="D126" s="7">
        <f>Raw_Data!D126</f>
        <v/>
      </c>
      <c r="E126" s="7">
        <f>Raw_Data!E126</f>
        <v/>
      </c>
      <c r="F126" s="8">
        <f>Raw_Data!F126</f>
        <v/>
      </c>
      <c r="G126" s="8">
        <f>Raw_Data!G126</f>
        <v/>
      </c>
      <c r="H126" s="7">
        <f>Raw_Data!H126</f>
        <v/>
      </c>
      <c r="I126" s="7">
        <f>Raw_Data!I126</f>
        <v/>
      </c>
      <c r="J126" s="8">
        <f>Raw_Data!J126</f>
        <v/>
      </c>
      <c r="K126" s="8">
        <f>Raw_Data!K126</f>
        <v/>
      </c>
      <c r="L126" s="8">
        <f>Raw_Data!L126</f>
        <v/>
      </c>
      <c r="M126" s="7">
        <f>Raw_Data!M126</f>
        <v/>
      </c>
      <c r="N126" s="7">
        <f>Raw_Data!N126</f>
        <v/>
      </c>
      <c r="O126" s="7">
        <f>Raw_Data!O126</f>
        <v/>
      </c>
      <c r="P126" s="8">
        <f>Raw_Data!P126</f>
        <v/>
      </c>
      <c r="R126" s="9">
        <f>IFERROR(Cleaned_Data!M126/Cleaned_Data!K126,0)</f>
        <v/>
      </c>
    </row>
    <row r="127">
      <c r="A127" s="10">
        <f>Raw_Data!A127</f>
        <v/>
      </c>
      <c r="B127" s="11">
        <f>Raw_Data!B127</f>
        <v/>
      </c>
      <c r="C127" s="11">
        <f>Raw_Data!C127</f>
        <v/>
      </c>
      <c r="D127" s="10">
        <f>Raw_Data!D127</f>
        <v/>
      </c>
      <c r="E127" s="10">
        <f>Raw_Data!E127</f>
        <v/>
      </c>
      <c r="F127" s="11">
        <f>Raw_Data!F127</f>
        <v/>
      </c>
      <c r="G127" s="11">
        <f>Raw_Data!G127</f>
        <v/>
      </c>
      <c r="H127" s="10">
        <f>Raw_Data!H127</f>
        <v/>
      </c>
      <c r="I127" s="10">
        <f>Raw_Data!I127</f>
        <v/>
      </c>
      <c r="J127" s="11">
        <f>Raw_Data!J127</f>
        <v/>
      </c>
      <c r="K127" s="11">
        <f>Raw_Data!K127</f>
        <v/>
      </c>
      <c r="L127" s="11">
        <f>Raw_Data!L127</f>
        <v/>
      </c>
      <c r="M127" s="10">
        <f>Raw_Data!M127</f>
        <v/>
      </c>
      <c r="N127" s="10">
        <f>Raw_Data!N127</f>
        <v/>
      </c>
      <c r="O127" s="10">
        <f>Raw_Data!O127</f>
        <v/>
      </c>
      <c r="P127" s="11">
        <f>Raw_Data!P127</f>
        <v/>
      </c>
      <c r="R127" s="9">
        <f>IFERROR(Cleaned_Data!M127/Cleaned_Data!K127,0)</f>
        <v/>
      </c>
    </row>
    <row r="128">
      <c r="A128" s="7">
        <f>Raw_Data!A128</f>
        <v/>
      </c>
      <c r="B128" s="8">
        <f>Raw_Data!B128</f>
        <v/>
      </c>
      <c r="C128" s="8">
        <f>Raw_Data!C128</f>
        <v/>
      </c>
      <c r="D128" s="7">
        <f>Raw_Data!D128</f>
        <v/>
      </c>
      <c r="E128" s="7">
        <f>Raw_Data!E128</f>
        <v/>
      </c>
      <c r="F128" s="8">
        <f>Raw_Data!F128</f>
        <v/>
      </c>
      <c r="G128" s="8">
        <f>Raw_Data!G128</f>
        <v/>
      </c>
      <c r="H128" s="7">
        <f>Raw_Data!H128</f>
        <v/>
      </c>
      <c r="I128" s="7">
        <f>Raw_Data!I128</f>
        <v/>
      </c>
      <c r="J128" s="8">
        <f>Raw_Data!J128</f>
        <v/>
      </c>
      <c r="K128" s="8">
        <f>Raw_Data!K128</f>
        <v/>
      </c>
      <c r="L128" s="8">
        <f>Raw_Data!L128</f>
        <v/>
      </c>
      <c r="M128" s="7">
        <f>Raw_Data!M128</f>
        <v/>
      </c>
      <c r="N128" s="7">
        <f>Raw_Data!N128</f>
        <v/>
      </c>
      <c r="O128" s="7">
        <f>Raw_Data!O128</f>
        <v/>
      </c>
      <c r="P128" s="8">
        <f>Raw_Data!P128</f>
        <v/>
      </c>
      <c r="R128" s="9">
        <f>IFERROR(Cleaned_Data!M128/Cleaned_Data!K128,0)</f>
        <v/>
      </c>
    </row>
    <row r="129">
      <c r="A129" s="10">
        <f>Raw_Data!A129</f>
        <v/>
      </c>
      <c r="B129" s="11">
        <f>Raw_Data!B129</f>
        <v/>
      </c>
      <c r="C129" s="11">
        <f>Raw_Data!C129</f>
        <v/>
      </c>
      <c r="D129" s="10">
        <f>Raw_Data!D129</f>
        <v/>
      </c>
      <c r="E129" s="10">
        <f>Raw_Data!E129</f>
        <v/>
      </c>
      <c r="F129" s="11">
        <f>Raw_Data!F129</f>
        <v/>
      </c>
      <c r="G129" s="11">
        <f>Raw_Data!G129</f>
        <v/>
      </c>
      <c r="H129" s="10">
        <f>Raw_Data!H129</f>
        <v/>
      </c>
      <c r="I129" s="10">
        <f>Raw_Data!I129</f>
        <v/>
      </c>
      <c r="J129" s="11">
        <f>Raw_Data!J129</f>
        <v/>
      </c>
      <c r="K129" s="11">
        <f>Raw_Data!K129</f>
        <v/>
      </c>
      <c r="L129" s="11">
        <f>Raw_Data!L129</f>
        <v/>
      </c>
      <c r="M129" s="10">
        <f>Raw_Data!M129</f>
        <v/>
      </c>
      <c r="N129" s="10">
        <f>Raw_Data!N129</f>
        <v/>
      </c>
      <c r="O129" s="10">
        <f>Raw_Data!O129</f>
        <v/>
      </c>
      <c r="P129" s="11">
        <f>Raw_Data!P129</f>
        <v/>
      </c>
      <c r="R129" s="9">
        <f>IFERROR(Cleaned_Data!M129/Cleaned_Data!K129,0)</f>
        <v/>
      </c>
    </row>
    <row r="130">
      <c r="A130" s="7">
        <f>Raw_Data!A130</f>
        <v/>
      </c>
      <c r="B130" s="8">
        <f>Raw_Data!B130</f>
        <v/>
      </c>
      <c r="C130" s="8">
        <f>Raw_Data!C130</f>
        <v/>
      </c>
      <c r="D130" s="7">
        <f>Raw_Data!D130</f>
        <v/>
      </c>
      <c r="E130" s="7">
        <f>Raw_Data!E130</f>
        <v/>
      </c>
      <c r="F130" s="8">
        <f>Raw_Data!F130</f>
        <v/>
      </c>
      <c r="G130" s="8">
        <f>Raw_Data!G130</f>
        <v/>
      </c>
      <c r="H130" s="7">
        <f>Raw_Data!H130</f>
        <v/>
      </c>
      <c r="I130" s="7">
        <f>Raw_Data!I130</f>
        <v/>
      </c>
      <c r="J130" s="8">
        <f>Raw_Data!J130</f>
        <v/>
      </c>
      <c r="K130" s="8">
        <f>Raw_Data!K130</f>
        <v/>
      </c>
      <c r="L130" s="8">
        <f>Raw_Data!L130</f>
        <v/>
      </c>
      <c r="M130" s="7">
        <f>Raw_Data!M130</f>
        <v/>
      </c>
      <c r="N130" s="7">
        <f>Raw_Data!N130</f>
        <v/>
      </c>
      <c r="O130" s="7">
        <f>Raw_Data!O130</f>
        <v/>
      </c>
      <c r="P130" s="8">
        <f>Raw_Data!P130</f>
        <v/>
      </c>
      <c r="R130" s="9">
        <f>IFERROR(Cleaned_Data!M130/Cleaned_Data!K130,0)</f>
        <v/>
      </c>
    </row>
    <row r="131">
      <c r="A131" s="10">
        <f>Raw_Data!A131</f>
        <v/>
      </c>
      <c r="B131" s="11">
        <f>Raw_Data!B131</f>
        <v/>
      </c>
      <c r="C131" s="11">
        <f>Raw_Data!C131</f>
        <v/>
      </c>
      <c r="D131" s="10">
        <f>Raw_Data!D131</f>
        <v/>
      </c>
      <c r="E131" s="10">
        <f>Raw_Data!E131</f>
        <v/>
      </c>
      <c r="F131" s="11">
        <f>Raw_Data!F131</f>
        <v/>
      </c>
      <c r="G131" s="11">
        <f>Raw_Data!G131</f>
        <v/>
      </c>
      <c r="H131" s="10">
        <f>Raw_Data!H131</f>
        <v/>
      </c>
      <c r="I131" s="10">
        <f>Raw_Data!I131</f>
        <v/>
      </c>
      <c r="J131" s="11">
        <f>Raw_Data!J131</f>
        <v/>
      </c>
      <c r="K131" s="11">
        <f>Raw_Data!K131</f>
        <v/>
      </c>
      <c r="L131" s="11">
        <f>Raw_Data!L131</f>
        <v/>
      </c>
      <c r="M131" s="10">
        <f>Raw_Data!M131</f>
        <v/>
      </c>
      <c r="N131" s="10">
        <f>Raw_Data!N131</f>
        <v/>
      </c>
      <c r="O131" s="10">
        <f>Raw_Data!O131</f>
        <v/>
      </c>
      <c r="P131" s="11">
        <f>Raw_Data!P131</f>
        <v/>
      </c>
      <c r="R131" s="9">
        <f>IFERROR(Cleaned_Data!M131/Cleaned_Data!K131,0)</f>
        <v/>
      </c>
    </row>
    <row r="132">
      <c r="A132" s="7">
        <f>Raw_Data!A132</f>
        <v/>
      </c>
      <c r="B132" s="8">
        <f>Raw_Data!B132</f>
        <v/>
      </c>
      <c r="C132" s="8">
        <f>Raw_Data!C132</f>
        <v/>
      </c>
      <c r="D132" s="7">
        <f>Raw_Data!D132</f>
        <v/>
      </c>
      <c r="E132" s="7">
        <f>Raw_Data!E132</f>
        <v/>
      </c>
      <c r="F132" s="8">
        <f>Raw_Data!F132</f>
        <v/>
      </c>
      <c r="G132" s="8">
        <f>Raw_Data!G132</f>
        <v/>
      </c>
      <c r="H132" s="7">
        <f>Raw_Data!H132</f>
        <v/>
      </c>
      <c r="I132" s="7">
        <f>Raw_Data!I132</f>
        <v/>
      </c>
      <c r="J132" s="8">
        <f>Raw_Data!J132</f>
        <v/>
      </c>
      <c r="K132" s="8">
        <f>Raw_Data!K132</f>
        <v/>
      </c>
      <c r="L132" s="8">
        <f>Raw_Data!L132</f>
        <v/>
      </c>
      <c r="M132" s="7">
        <f>Raw_Data!M132</f>
        <v/>
      </c>
      <c r="N132" s="7">
        <f>Raw_Data!N132</f>
        <v/>
      </c>
      <c r="O132" s="7">
        <f>Raw_Data!O132</f>
        <v/>
      </c>
      <c r="P132" s="8">
        <f>Raw_Data!P132</f>
        <v/>
      </c>
      <c r="R132" s="9">
        <f>IFERROR(Cleaned_Data!M132/Cleaned_Data!K132,0)</f>
        <v/>
      </c>
    </row>
    <row r="133">
      <c r="A133" s="10">
        <f>Raw_Data!A133</f>
        <v/>
      </c>
      <c r="B133" s="11">
        <f>Raw_Data!B133</f>
        <v/>
      </c>
      <c r="C133" s="11">
        <f>Raw_Data!C133</f>
        <v/>
      </c>
      <c r="D133" s="10">
        <f>Raw_Data!D133</f>
        <v/>
      </c>
      <c r="E133" s="10">
        <f>Raw_Data!E133</f>
        <v/>
      </c>
      <c r="F133" s="11">
        <f>Raw_Data!F133</f>
        <v/>
      </c>
      <c r="G133" s="11">
        <f>Raw_Data!G133</f>
        <v/>
      </c>
      <c r="H133" s="10">
        <f>Raw_Data!H133</f>
        <v/>
      </c>
      <c r="I133" s="10">
        <f>Raw_Data!I133</f>
        <v/>
      </c>
      <c r="J133" s="11">
        <f>Raw_Data!J133</f>
        <v/>
      </c>
      <c r="K133" s="11">
        <f>Raw_Data!K133</f>
        <v/>
      </c>
      <c r="L133" s="11">
        <f>Raw_Data!L133</f>
        <v/>
      </c>
      <c r="M133" s="10">
        <f>Raw_Data!M133</f>
        <v/>
      </c>
      <c r="N133" s="10">
        <f>Raw_Data!N133</f>
        <v/>
      </c>
      <c r="O133" s="10">
        <f>Raw_Data!O133</f>
        <v/>
      </c>
      <c r="P133" s="11">
        <f>Raw_Data!P133</f>
        <v/>
      </c>
      <c r="R133" s="9">
        <f>IFERROR(Cleaned_Data!M133/Cleaned_Data!K133,0)</f>
        <v/>
      </c>
    </row>
    <row r="134">
      <c r="A134" s="7">
        <f>Raw_Data!A134</f>
        <v/>
      </c>
      <c r="B134" s="8">
        <f>Raw_Data!B134</f>
        <v/>
      </c>
      <c r="C134" s="8">
        <f>Raw_Data!C134</f>
        <v/>
      </c>
      <c r="D134" s="7">
        <f>Raw_Data!D134</f>
        <v/>
      </c>
      <c r="E134" s="7">
        <f>Raw_Data!E134</f>
        <v/>
      </c>
      <c r="F134" s="8">
        <f>Raw_Data!F134</f>
        <v/>
      </c>
      <c r="G134" s="8">
        <f>Raw_Data!G134</f>
        <v/>
      </c>
      <c r="H134" s="7">
        <f>Raw_Data!H134</f>
        <v/>
      </c>
      <c r="I134" s="7">
        <f>Raw_Data!I134</f>
        <v/>
      </c>
      <c r="J134" s="8">
        <f>Raw_Data!J134</f>
        <v/>
      </c>
      <c r="K134" s="8">
        <f>Raw_Data!K134</f>
        <v/>
      </c>
      <c r="L134" s="8">
        <f>Raw_Data!L134</f>
        <v/>
      </c>
      <c r="M134" s="7">
        <f>Raw_Data!M134</f>
        <v/>
      </c>
      <c r="N134" s="7">
        <f>Raw_Data!N134</f>
        <v/>
      </c>
      <c r="O134" s="7">
        <f>Raw_Data!O134</f>
        <v/>
      </c>
      <c r="P134" s="8">
        <f>Raw_Data!P134</f>
        <v/>
      </c>
      <c r="R134" s="9">
        <f>IFERROR(Cleaned_Data!M134/Cleaned_Data!K134,0)</f>
        <v/>
      </c>
    </row>
    <row r="135">
      <c r="A135" s="10">
        <f>Raw_Data!A135</f>
        <v/>
      </c>
      <c r="B135" s="11">
        <f>Raw_Data!B135</f>
        <v/>
      </c>
      <c r="C135" s="11">
        <f>Raw_Data!C135</f>
        <v/>
      </c>
      <c r="D135" s="10">
        <f>Raw_Data!D135</f>
        <v/>
      </c>
      <c r="E135" s="10">
        <f>Raw_Data!E135</f>
        <v/>
      </c>
      <c r="F135" s="11">
        <f>Raw_Data!F135</f>
        <v/>
      </c>
      <c r="G135" s="11">
        <f>Raw_Data!G135</f>
        <v/>
      </c>
      <c r="H135" s="10">
        <f>Raw_Data!H135</f>
        <v/>
      </c>
      <c r="I135" s="10">
        <f>Raw_Data!I135</f>
        <v/>
      </c>
      <c r="J135" s="11">
        <f>Raw_Data!J135</f>
        <v/>
      </c>
      <c r="K135" s="11">
        <f>Raw_Data!K135</f>
        <v/>
      </c>
      <c r="L135" s="11">
        <f>Raw_Data!L135</f>
        <v/>
      </c>
      <c r="M135" s="10">
        <f>Raw_Data!M135</f>
        <v/>
      </c>
      <c r="N135" s="10">
        <f>Raw_Data!N135</f>
        <v/>
      </c>
      <c r="O135" s="10">
        <f>Raw_Data!O135</f>
        <v/>
      </c>
      <c r="P135" s="11">
        <f>Raw_Data!P135</f>
        <v/>
      </c>
      <c r="R135" s="9">
        <f>IFERROR(Cleaned_Data!M135/Cleaned_Data!K135,0)</f>
        <v/>
      </c>
    </row>
    <row r="136">
      <c r="A136" s="7">
        <f>Raw_Data!A136</f>
        <v/>
      </c>
      <c r="B136" s="8">
        <f>Raw_Data!B136</f>
        <v/>
      </c>
      <c r="C136" s="8">
        <f>Raw_Data!C136</f>
        <v/>
      </c>
      <c r="D136" s="7">
        <f>Raw_Data!D136</f>
        <v/>
      </c>
      <c r="E136" s="7">
        <f>Raw_Data!E136</f>
        <v/>
      </c>
      <c r="F136" s="8">
        <f>Raw_Data!F136</f>
        <v/>
      </c>
      <c r="G136" s="8">
        <f>Raw_Data!G136</f>
        <v/>
      </c>
      <c r="H136" s="7">
        <f>Raw_Data!H136</f>
        <v/>
      </c>
      <c r="I136" s="7">
        <f>Raw_Data!I136</f>
        <v/>
      </c>
      <c r="J136" s="8">
        <f>Raw_Data!J136</f>
        <v/>
      </c>
      <c r="K136" s="8">
        <f>Raw_Data!K136</f>
        <v/>
      </c>
      <c r="L136" s="8">
        <f>Raw_Data!L136</f>
        <v/>
      </c>
      <c r="M136" s="7">
        <f>Raw_Data!M136</f>
        <v/>
      </c>
      <c r="N136" s="7">
        <f>Raw_Data!N136</f>
        <v/>
      </c>
      <c r="O136" s="7">
        <f>Raw_Data!O136</f>
        <v/>
      </c>
      <c r="P136" s="8">
        <f>Raw_Data!P136</f>
        <v/>
      </c>
      <c r="R136" s="9">
        <f>IFERROR(Cleaned_Data!M136/Cleaned_Data!K136,0)</f>
        <v/>
      </c>
    </row>
    <row r="137">
      <c r="A137" s="10">
        <f>Raw_Data!A137</f>
        <v/>
      </c>
      <c r="B137" s="11">
        <f>Raw_Data!B137</f>
        <v/>
      </c>
      <c r="C137" s="11">
        <f>Raw_Data!C137</f>
        <v/>
      </c>
      <c r="D137" s="10">
        <f>Raw_Data!D137</f>
        <v/>
      </c>
      <c r="E137" s="10">
        <f>Raw_Data!E137</f>
        <v/>
      </c>
      <c r="F137" s="11">
        <f>Raw_Data!F137</f>
        <v/>
      </c>
      <c r="G137" s="11">
        <f>Raw_Data!G137</f>
        <v/>
      </c>
      <c r="H137" s="10">
        <f>Raw_Data!H137</f>
        <v/>
      </c>
      <c r="I137" s="10">
        <f>Raw_Data!I137</f>
        <v/>
      </c>
      <c r="J137" s="11">
        <f>Raw_Data!J137</f>
        <v/>
      </c>
      <c r="K137" s="11">
        <f>Raw_Data!K137</f>
        <v/>
      </c>
      <c r="L137" s="11">
        <f>Raw_Data!L137</f>
        <v/>
      </c>
      <c r="M137" s="10">
        <f>Raw_Data!M137</f>
        <v/>
      </c>
      <c r="N137" s="10">
        <f>Raw_Data!N137</f>
        <v/>
      </c>
      <c r="O137" s="10">
        <f>Raw_Data!O137</f>
        <v/>
      </c>
      <c r="P137" s="11">
        <f>Raw_Data!P137</f>
        <v/>
      </c>
      <c r="R137" s="9">
        <f>IFERROR(Cleaned_Data!M137/Cleaned_Data!K137,0)</f>
        <v/>
      </c>
    </row>
    <row r="138">
      <c r="A138" s="7">
        <f>Raw_Data!A138</f>
        <v/>
      </c>
      <c r="B138" s="8">
        <f>Raw_Data!B138</f>
        <v/>
      </c>
      <c r="C138" s="8">
        <f>Raw_Data!C138</f>
        <v/>
      </c>
      <c r="D138" s="7">
        <f>Raw_Data!D138</f>
        <v/>
      </c>
      <c r="E138" s="7">
        <f>Raw_Data!E138</f>
        <v/>
      </c>
      <c r="F138" s="8">
        <f>Raw_Data!F138</f>
        <v/>
      </c>
      <c r="G138" s="8">
        <f>Raw_Data!G138</f>
        <v/>
      </c>
      <c r="H138" s="7">
        <f>Raw_Data!H138</f>
        <v/>
      </c>
      <c r="I138" s="7">
        <f>Raw_Data!I138</f>
        <v/>
      </c>
      <c r="J138" s="8">
        <f>Raw_Data!J138</f>
        <v/>
      </c>
      <c r="K138" s="8">
        <f>Raw_Data!K138</f>
        <v/>
      </c>
      <c r="L138" s="8">
        <f>Raw_Data!L138</f>
        <v/>
      </c>
      <c r="M138" s="7">
        <f>Raw_Data!M138</f>
        <v/>
      </c>
      <c r="N138" s="7">
        <f>Raw_Data!N138</f>
        <v/>
      </c>
      <c r="O138" s="7">
        <f>Raw_Data!O138</f>
        <v/>
      </c>
      <c r="P138" s="8">
        <f>Raw_Data!P138</f>
        <v/>
      </c>
      <c r="R138" s="9">
        <f>IFERROR(Cleaned_Data!M138/Cleaned_Data!K138,0)</f>
        <v/>
      </c>
    </row>
    <row r="139">
      <c r="A139" s="10">
        <f>Raw_Data!A139</f>
        <v/>
      </c>
      <c r="B139" s="11">
        <f>Raw_Data!B139</f>
        <v/>
      </c>
      <c r="C139" s="11">
        <f>Raw_Data!C139</f>
        <v/>
      </c>
      <c r="D139" s="10">
        <f>Raw_Data!D139</f>
        <v/>
      </c>
      <c r="E139" s="10">
        <f>Raw_Data!E139</f>
        <v/>
      </c>
      <c r="F139" s="11">
        <f>Raw_Data!F139</f>
        <v/>
      </c>
      <c r="G139" s="11">
        <f>Raw_Data!G139</f>
        <v/>
      </c>
      <c r="H139" s="10">
        <f>Raw_Data!H139</f>
        <v/>
      </c>
      <c r="I139" s="10">
        <f>Raw_Data!I139</f>
        <v/>
      </c>
      <c r="J139" s="11">
        <f>Raw_Data!J139</f>
        <v/>
      </c>
      <c r="K139" s="11">
        <f>Raw_Data!K139</f>
        <v/>
      </c>
      <c r="L139" s="11">
        <f>Raw_Data!L139</f>
        <v/>
      </c>
      <c r="M139" s="10">
        <f>Raw_Data!M139</f>
        <v/>
      </c>
      <c r="N139" s="10">
        <f>Raw_Data!N139</f>
        <v/>
      </c>
      <c r="O139" s="10">
        <f>Raw_Data!O139</f>
        <v/>
      </c>
      <c r="P139" s="11">
        <f>Raw_Data!P139</f>
        <v/>
      </c>
      <c r="R139" s="9">
        <f>IFERROR(Cleaned_Data!M139/Cleaned_Data!K139,0)</f>
        <v/>
      </c>
    </row>
    <row r="140">
      <c r="A140" s="7">
        <f>Raw_Data!A140</f>
        <v/>
      </c>
      <c r="B140" s="8">
        <f>Raw_Data!B140</f>
        <v/>
      </c>
      <c r="C140" s="8">
        <f>Raw_Data!C140</f>
        <v/>
      </c>
      <c r="D140" s="7">
        <f>Raw_Data!D140</f>
        <v/>
      </c>
      <c r="E140" s="7">
        <f>Raw_Data!E140</f>
        <v/>
      </c>
      <c r="F140" s="8">
        <f>Raw_Data!F140</f>
        <v/>
      </c>
      <c r="G140" s="8">
        <f>Raw_Data!G140</f>
        <v/>
      </c>
      <c r="H140" s="7">
        <f>Raw_Data!H140</f>
        <v/>
      </c>
      <c r="I140" s="7">
        <f>Raw_Data!I140</f>
        <v/>
      </c>
      <c r="J140" s="8">
        <f>Raw_Data!J140</f>
        <v/>
      </c>
      <c r="K140" s="8">
        <f>Raw_Data!K140</f>
        <v/>
      </c>
      <c r="L140" s="8">
        <f>Raw_Data!L140</f>
        <v/>
      </c>
      <c r="M140" s="7">
        <f>Raw_Data!M140</f>
        <v/>
      </c>
      <c r="N140" s="7">
        <f>Raw_Data!N140</f>
        <v/>
      </c>
      <c r="O140" s="7">
        <f>Raw_Data!O140</f>
        <v/>
      </c>
      <c r="P140" s="8">
        <f>Raw_Data!P140</f>
        <v/>
      </c>
      <c r="R140" s="9">
        <f>IFERROR(Cleaned_Data!M140/Cleaned_Data!K140,0)</f>
        <v/>
      </c>
    </row>
    <row r="141">
      <c r="A141" s="10">
        <f>Raw_Data!A141</f>
        <v/>
      </c>
      <c r="B141" s="11">
        <f>Raw_Data!B141</f>
        <v/>
      </c>
      <c r="C141" s="11">
        <f>Raw_Data!C141</f>
        <v/>
      </c>
      <c r="D141" s="10">
        <f>Raw_Data!D141</f>
        <v/>
      </c>
      <c r="E141" s="10">
        <f>Raw_Data!E141</f>
        <v/>
      </c>
      <c r="F141" s="11">
        <f>Raw_Data!F141</f>
        <v/>
      </c>
      <c r="G141" s="11">
        <f>Raw_Data!G141</f>
        <v/>
      </c>
      <c r="H141" s="10">
        <f>Raw_Data!H141</f>
        <v/>
      </c>
      <c r="I141" s="10">
        <f>Raw_Data!I141</f>
        <v/>
      </c>
      <c r="J141" s="11">
        <f>Raw_Data!J141</f>
        <v/>
      </c>
      <c r="K141" s="11">
        <f>Raw_Data!K141</f>
        <v/>
      </c>
      <c r="L141" s="11">
        <f>Raw_Data!L141</f>
        <v/>
      </c>
      <c r="M141" s="10">
        <f>Raw_Data!M141</f>
        <v/>
      </c>
      <c r="N141" s="10">
        <f>Raw_Data!N141</f>
        <v/>
      </c>
      <c r="O141" s="10">
        <f>Raw_Data!O141</f>
        <v/>
      </c>
      <c r="P141" s="11">
        <f>Raw_Data!P141</f>
        <v/>
      </c>
      <c r="R141" s="9">
        <f>IFERROR(Cleaned_Data!M141/Cleaned_Data!K141,0)</f>
        <v/>
      </c>
    </row>
    <row r="142">
      <c r="A142" s="7">
        <f>Raw_Data!A142</f>
        <v/>
      </c>
      <c r="B142" s="8">
        <f>Raw_Data!B142</f>
        <v/>
      </c>
      <c r="C142" s="8">
        <f>Raw_Data!C142</f>
        <v/>
      </c>
      <c r="D142" s="7">
        <f>Raw_Data!D142</f>
        <v/>
      </c>
      <c r="E142" s="7">
        <f>Raw_Data!E142</f>
        <v/>
      </c>
      <c r="F142" s="8">
        <f>Raw_Data!F142</f>
        <v/>
      </c>
      <c r="G142" s="8">
        <f>Raw_Data!G142</f>
        <v/>
      </c>
      <c r="H142" s="7">
        <f>Raw_Data!H142</f>
        <v/>
      </c>
      <c r="I142" s="7">
        <f>Raw_Data!I142</f>
        <v/>
      </c>
      <c r="J142" s="8">
        <f>Raw_Data!J142</f>
        <v/>
      </c>
      <c r="K142" s="8">
        <f>Raw_Data!K142</f>
        <v/>
      </c>
      <c r="L142" s="8">
        <f>Raw_Data!L142</f>
        <v/>
      </c>
      <c r="M142" s="7">
        <f>Raw_Data!M142</f>
        <v/>
      </c>
      <c r="N142" s="7">
        <f>Raw_Data!N142</f>
        <v/>
      </c>
      <c r="O142" s="7">
        <f>Raw_Data!O142</f>
        <v/>
      </c>
      <c r="P142" s="8">
        <f>Raw_Data!P142</f>
        <v/>
      </c>
      <c r="R142" s="9">
        <f>IFERROR(Cleaned_Data!M142/Cleaned_Data!K142,0)</f>
        <v/>
      </c>
    </row>
    <row r="143">
      <c r="A143" s="10">
        <f>Raw_Data!A143</f>
        <v/>
      </c>
      <c r="B143" s="11">
        <f>Raw_Data!B143</f>
        <v/>
      </c>
      <c r="C143" s="11">
        <f>Raw_Data!C143</f>
        <v/>
      </c>
      <c r="D143" s="10">
        <f>Raw_Data!D143</f>
        <v/>
      </c>
      <c r="E143" s="10">
        <f>Raw_Data!E143</f>
        <v/>
      </c>
      <c r="F143" s="11">
        <f>Raw_Data!F143</f>
        <v/>
      </c>
      <c r="G143" s="11">
        <f>Raw_Data!G143</f>
        <v/>
      </c>
      <c r="H143" s="10">
        <f>Raw_Data!H143</f>
        <v/>
      </c>
      <c r="I143" s="10">
        <f>Raw_Data!I143</f>
        <v/>
      </c>
      <c r="J143" s="11">
        <f>Raw_Data!J143</f>
        <v/>
      </c>
      <c r="K143" s="11">
        <f>Raw_Data!K143</f>
        <v/>
      </c>
      <c r="L143" s="11">
        <f>Raw_Data!L143</f>
        <v/>
      </c>
      <c r="M143" s="10">
        <f>Raw_Data!M143</f>
        <v/>
      </c>
      <c r="N143" s="10">
        <f>Raw_Data!N143</f>
        <v/>
      </c>
      <c r="O143" s="10">
        <f>Raw_Data!O143</f>
        <v/>
      </c>
      <c r="P143" s="11">
        <f>Raw_Data!P143</f>
        <v/>
      </c>
      <c r="R143" s="9">
        <f>IFERROR(Cleaned_Data!M143/Cleaned_Data!K143,0)</f>
        <v/>
      </c>
    </row>
    <row r="144">
      <c r="A144" s="7">
        <f>Raw_Data!A144</f>
        <v/>
      </c>
      <c r="B144" s="8">
        <f>Raw_Data!B144</f>
        <v/>
      </c>
      <c r="C144" s="8">
        <f>Raw_Data!C144</f>
        <v/>
      </c>
      <c r="D144" s="7">
        <f>Raw_Data!D144</f>
        <v/>
      </c>
      <c r="E144" s="7">
        <f>Raw_Data!E144</f>
        <v/>
      </c>
      <c r="F144" s="8">
        <f>Raw_Data!F144</f>
        <v/>
      </c>
      <c r="G144" s="8">
        <f>Raw_Data!G144</f>
        <v/>
      </c>
      <c r="H144" s="7">
        <f>Raw_Data!H144</f>
        <v/>
      </c>
      <c r="I144" s="7">
        <f>Raw_Data!I144</f>
        <v/>
      </c>
      <c r="J144" s="8">
        <f>Raw_Data!J144</f>
        <v/>
      </c>
      <c r="K144" s="8">
        <f>Raw_Data!K144</f>
        <v/>
      </c>
      <c r="L144" s="8">
        <f>Raw_Data!L144</f>
        <v/>
      </c>
      <c r="M144" s="7">
        <f>Raw_Data!M144</f>
        <v/>
      </c>
      <c r="N144" s="7">
        <f>Raw_Data!N144</f>
        <v/>
      </c>
      <c r="O144" s="7">
        <f>Raw_Data!O144</f>
        <v/>
      </c>
      <c r="P144" s="8">
        <f>Raw_Data!P144</f>
        <v/>
      </c>
      <c r="R144" s="9">
        <f>IFERROR(Cleaned_Data!M144/Cleaned_Data!K144,0)</f>
        <v/>
      </c>
    </row>
    <row r="145">
      <c r="A145" s="10">
        <f>Raw_Data!A145</f>
        <v/>
      </c>
      <c r="B145" s="11">
        <f>Raw_Data!B145</f>
        <v/>
      </c>
      <c r="C145" s="11">
        <f>Raw_Data!C145</f>
        <v/>
      </c>
      <c r="D145" s="10">
        <f>Raw_Data!D145</f>
        <v/>
      </c>
      <c r="E145" s="10">
        <f>Raw_Data!E145</f>
        <v/>
      </c>
      <c r="F145" s="11">
        <f>Raw_Data!F145</f>
        <v/>
      </c>
      <c r="G145" s="11">
        <f>Raw_Data!G145</f>
        <v/>
      </c>
      <c r="H145" s="10">
        <f>Raw_Data!H145</f>
        <v/>
      </c>
      <c r="I145" s="10">
        <f>Raw_Data!I145</f>
        <v/>
      </c>
      <c r="J145" s="11">
        <f>Raw_Data!J145</f>
        <v/>
      </c>
      <c r="K145" s="11">
        <f>Raw_Data!K145</f>
        <v/>
      </c>
      <c r="L145" s="11">
        <f>Raw_Data!L145</f>
        <v/>
      </c>
      <c r="M145" s="10">
        <f>Raw_Data!M145</f>
        <v/>
      </c>
      <c r="N145" s="10">
        <f>Raw_Data!N145</f>
        <v/>
      </c>
      <c r="O145" s="10">
        <f>Raw_Data!O145</f>
        <v/>
      </c>
      <c r="P145" s="11">
        <f>Raw_Data!P145</f>
        <v/>
      </c>
      <c r="R145" s="9">
        <f>IFERROR(Cleaned_Data!M145/Cleaned_Data!K145,0)</f>
        <v/>
      </c>
    </row>
    <row r="146">
      <c r="A146" s="7">
        <f>Raw_Data!A146</f>
        <v/>
      </c>
      <c r="B146" s="8">
        <f>Raw_Data!B146</f>
        <v/>
      </c>
      <c r="C146" s="8">
        <f>Raw_Data!C146</f>
        <v/>
      </c>
      <c r="D146" s="7">
        <f>Raw_Data!D146</f>
        <v/>
      </c>
      <c r="E146" s="7">
        <f>Raw_Data!E146</f>
        <v/>
      </c>
      <c r="F146" s="8">
        <f>Raw_Data!F146</f>
        <v/>
      </c>
      <c r="G146" s="8">
        <f>Raw_Data!G146</f>
        <v/>
      </c>
      <c r="H146" s="7">
        <f>Raw_Data!H146</f>
        <v/>
      </c>
      <c r="I146" s="7">
        <f>Raw_Data!I146</f>
        <v/>
      </c>
      <c r="J146" s="8">
        <f>Raw_Data!J146</f>
        <v/>
      </c>
      <c r="K146" s="8">
        <f>Raw_Data!K146</f>
        <v/>
      </c>
      <c r="L146" s="8">
        <f>Raw_Data!L146</f>
        <v/>
      </c>
      <c r="M146" s="7">
        <f>Raw_Data!M146</f>
        <v/>
      </c>
      <c r="N146" s="7">
        <f>Raw_Data!N146</f>
        <v/>
      </c>
      <c r="O146" s="7">
        <f>Raw_Data!O146</f>
        <v/>
      </c>
      <c r="P146" s="8">
        <f>Raw_Data!P146</f>
        <v/>
      </c>
      <c r="R146" s="9">
        <f>IFERROR(Cleaned_Data!M146/Cleaned_Data!K146,0)</f>
        <v/>
      </c>
    </row>
    <row r="147">
      <c r="A147" s="10">
        <f>Raw_Data!A147</f>
        <v/>
      </c>
      <c r="B147" s="11">
        <f>Raw_Data!B147</f>
        <v/>
      </c>
      <c r="C147" s="11">
        <f>Raw_Data!C147</f>
        <v/>
      </c>
      <c r="D147" s="10">
        <f>Raw_Data!D147</f>
        <v/>
      </c>
      <c r="E147" s="10">
        <f>Raw_Data!E147</f>
        <v/>
      </c>
      <c r="F147" s="11">
        <f>Raw_Data!F147</f>
        <v/>
      </c>
      <c r="G147" s="11">
        <f>Raw_Data!G147</f>
        <v/>
      </c>
      <c r="H147" s="10">
        <f>Raw_Data!H147</f>
        <v/>
      </c>
      <c r="I147" s="10">
        <f>Raw_Data!I147</f>
        <v/>
      </c>
      <c r="J147" s="11">
        <f>Raw_Data!J147</f>
        <v/>
      </c>
      <c r="K147" s="11">
        <f>Raw_Data!K147</f>
        <v/>
      </c>
      <c r="L147" s="11">
        <f>Raw_Data!L147</f>
        <v/>
      </c>
      <c r="M147" s="10">
        <f>Raw_Data!M147</f>
        <v/>
      </c>
      <c r="N147" s="10">
        <f>Raw_Data!N147</f>
        <v/>
      </c>
      <c r="O147" s="10">
        <f>Raw_Data!O147</f>
        <v/>
      </c>
      <c r="P147" s="11">
        <f>Raw_Data!P147</f>
        <v/>
      </c>
      <c r="R147" s="9">
        <f>IFERROR(Cleaned_Data!M147/Cleaned_Data!K147,0)</f>
        <v/>
      </c>
    </row>
    <row r="148">
      <c r="A148" s="7">
        <f>Raw_Data!A148</f>
        <v/>
      </c>
      <c r="B148" s="8">
        <f>Raw_Data!B148</f>
        <v/>
      </c>
      <c r="C148" s="8">
        <f>Raw_Data!C148</f>
        <v/>
      </c>
      <c r="D148" s="7">
        <f>Raw_Data!D148</f>
        <v/>
      </c>
      <c r="E148" s="7">
        <f>Raw_Data!E148</f>
        <v/>
      </c>
      <c r="F148" s="8">
        <f>Raw_Data!F148</f>
        <v/>
      </c>
      <c r="G148" s="8">
        <f>Raw_Data!G148</f>
        <v/>
      </c>
      <c r="H148" s="7">
        <f>Raw_Data!H148</f>
        <v/>
      </c>
      <c r="I148" s="7">
        <f>Raw_Data!I148</f>
        <v/>
      </c>
      <c r="J148" s="8">
        <f>Raw_Data!J148</f>
        <v/>
      </c>
      <c r="K148" s="8">
        <f>Raw_Data!K148</f>
        <v/>
      </c>
      <c r="L148" s="8">
        <f>Raw_Data!L148</f>
        <v/>
      </c>
      <c r="M148" s="7">
        <f>Raw_Data!M148</f>
        <v/>
      </c>
      <c r="N148" s="7">
        <f>Raw_Data!N148</f>
        <v/>
      </c>
      <c r="O148" s="7">
        <f>Raw_Data!O148</f>
        <v/>
      </c>
      <c r="P148" s="8">
        <f>Raw_Data!P148</f>
        <v/>
      </c>
      <c r="R148" s="9">
        <f>IFERROR(Cleaned_Data!M148/Cleaned_Data!K148,0)</f>
        <v/>
      </c>
    </row>
    <row r="149">
      <c r="A149" s="10">
        <f>Raw_Data!A149</f>
        <v/>
      </c>
      <c r="B149" s="11">
        <f>Raw_Data!B149</f>
        <v/>
      </c>
      <c r="C149" s="11">
        <f>Raw_Data!C149</f>
        <v/>
      </c>
      <c r="D149" s="10">
        <f>Raw_Data!D149</f>
        <v/>
      </c>
      <c r="E149" s="10">
        <f>Raw_Data!E149</f>
        <v/>
      </c>
      <c r="F149" s="11">
        <f>Raw_Data!F149</f>
        <v/>
      </c>
      <c r="G149" s="11">
        <f>Raw_Data!G149</f>
        <v/>
      </c>
      <c r="H149" s="10">
        <f>Raw_Data!H149</f>
        <v/>
      </c>
      <c r="I149" s="10">
        <f>Raw_Data!I149</f>
        <v/>
      </c>
      <c r="J149" s="11">
        <f>Raw_Data!J149</f>
        <v/>
      </c>
      <c r="K149" s="11">
        <f>Raw_Data!K149</f>
        <v/>
      </c>
      <c r="L149" s="11">
        <f>Raw_Data!L149</f>
        <v/>
      </c>
      <c r="M149" s="10">
        <f>Raw_Data!M149</f>
        <v/>
      </c>
      <c r="N149" s="10">
        <f>Raw_Data!N149</f>
        <v/>
      </c>
      <c r="O149" s="10">
        <f>Raw_Data!O149</f>
        <v/>
      </c>
      <c r="P149" s="11">
        <f>Raw_Data!P149</f>
        <v/>
      </c>
      <c r="R149" s="9">
        <f>IFERROR(Cleaned_Data!M149/Cleaned_Data!K149,0)</f>
        <v/>
      </c>
    </row>
    <row r="150">
      <c r="A150" s="7">
        <f>Raw_Data!A150</f>
        <v/>
      </c>
      <c r="B150" s="8">
        <f>Raw_Data!B150</f>
        <v/>
      </c>
      <c r="C150" s="8">
        <f>Raw_Data!C150</f>
        <v/>
      </c>
      <c r="D150" s="7">
        <f>Raw_Data!D150</f>
        <v/>
      </c>
      <c r="E150" s="7">
        <f>Raw_Data!E150</f>
        <v/>
      </c>
      <c r="F150" s="8">
        <f>Raw_Data!F150</f>
        <v/>
      </c>
      <c r="G150" s="8">
        <f>Raw_Data!G150</f>
        <v/>
      </c>
      <c r="H150" s="7">
        <f>Raw_Data!H150</f>
        <v/>
      </c>
      <c r="I150" s="7">
        <f>Raw_Data!I150</f>
        <v/>
      </c>
      <c r="J150" s="8">
        <f>Raw_Data!J150</f>
        <v/>
      </c>
      <c r="K150" s="8">
        <f>Raw_Data!K150</f>
        <v/>
      </c>
      <c r="L150" s="8">
        <f>Raw_Data!L150</f>
        <v/>
      </c>
      <c r="M150" s="7">
        <f>Raw_Data!M150</f>
        <v/>
      </c>
      <c r="N150" s="7">
        <f>Raw_Data!N150</f>
        <v/>
      </c>
      <c r="O150" s="7">
        <f>Raw_Data!O150</f>
        <v/>
      </c>
      <c r="P150" s="8">
        <f>Raw_Data!P150</f>
        <v/>
      </c>
      <c r="R150" s="9">
        <f>IFERROR(Cleaned_Data!M150/Cleaned_Data!K150,0)</f>
        <v/>
      </c>
    </row>
    <row r="151">
      <c r="A151" s="10">
        <f>Raw_Data!A151</f>
        <v/>
      </c>
      <c r="B151" s="11">
        <f>Raw_Data!B151</f>
        <v/>
      </c>
      <c r="C151" s="11">
        <f>Raw_Data!C151</f>
        <v/>
      </c>
      <c r="D151" s="10">
        <f>Raw_Data!D151</f>
        <v/>
      </c>
      <c r="E151" s="10">
        <f>Raw_Data!E151</f>
        <v/>
      </c>
      <c r="F151" s="11">
        <f>Raw_Data!F151</f>
        <v/>
      </c>
      <c r="G151" s="11">
        <f>Raw_Data!G151</f>
        <v/>
      </c>
      <c r="H151" s="10">
        <f>Raw_Data!H151</f>
        <v/>
      </c>
      <c r="I151" s="10">
        <f>Raw_Data!I151</f>
        <v/>
      </c>
      <c r="J151" s="11">
        <f>Raw_Data!J151</f>
        <v/>
      </c>
      <c r="K151" s="11">
        <f>Raw_Data!K151</f>
        <v/>
      </c>
      <c r="L151" s="11">
        <f>Raw_Data!L151</f>
        <v/>
      </c>
      <c r="M151" s="10">
        <f>Raw_Data!M151</f>
        <v/>
      </c>
      <c r="N151" s="10">
        <f>Raw_Data!N151</f>
        <v/>
      </c>
      <c r="O151" s="10">
        <f>Raw_Data!O151</f>
        <v/>
      </c>
      <c r="P151" s="11">
        <f>Raw_Data!P151</f>
        <v/>
      </c>
      <c r="R151" s="9">
        <f>IFERROR(Cleaned_Data!M151/Cleaned_Data!K151,0)</f>
        <v/>
      </c>
    </row>
    <row r="152">
      <c r="A152" s="7">
        <f>Raw_Data!A152</f>
        <v/>
      </c>
      <c r="B152" s="8">
        <f>Raw_Data!B152</f>
        <v/>
      </c>
      <c r="C152" s="8">
        <f>Raw_Data!C152</f>
        <v/>
      </c>
      <c r="D152" s="7">
        <f>Raw_Data!D152</f>
        <v/>
      </c>
      <c r="E152" s="7">
        <f>Raw_Data!E152</f>
        <v/>
      </c>
      <c r="F152" s="8">
        <f>Raw_Data!F152</f>
        <v/>
      </c>
      <c r="G152" s="8">
        <f>Raw_Data!G152</f>
        <v/>
      </c>
      <c r="H152" s="7">
        <f>Raw_Data!H152</f>
        <v/>
      </c>
      <c r="I152" s="7">
        <f>Raw_Data!I152</f>
        <v/>
      </c>
      <c r="J152" s="8">
        <f>Raw_Data!J152</f>
        <v/>
      </c>
      <c r="K152" s="8">
        <f>Raw_Data!K152</f>
        <v/>
      </c>
      <c r="L152" s="8">
        <f>Raw_Data!L152</f>
        <v/>
      </c>
      <c r="M152" s="7">
        <f>Raw_Data!M152</f>
        <v/>
      </c>
      <c r="N152" s="7">
        <f>Raw_Data!N152</f>
        <v/>
      </c>
      <c r="O152" s="7">
        <f>Raw_Data!O152</f>
        <v/>
      </c>
      <c r="P152" s="8">
        <f>Raw_Data!P152</f>
        <v/>
      </c>
      <c r="R152" s="9">
        <f>IFERROR(Cleaned_Data!M152/Cleaned_Data!K152,0)</f>
        <v/>
      </c>
    </row>
    <row r="153">
      <c r="A153" s="10">
        <f>Raw_Data!A153</f>
        <v/>
      </c>
      <c r="B153" s="11">
        <f>Raw_Data!B153</f>
        <v/>
      </c>
      <c r="C153" s="11">
        <f>Raw_Data!C153</f>
        <v/>
      </c>
      <c r="D153" s="10">
        <f>Raw_Data!D153</f>
        <v/>
      </c>
      <c r="E153" s="10">
        <f>Raw_Data!E153</f>
        <v/>
      </c>
      <c r="F153" s="11">
        <f>Raw_Data!F153</f>
        <v/>
      </c>
      <c r="G153" s="11">
        <f>Raw_Data!G153</f>
        <v/>
      </c>
      <c r="H153" s="10">
        <f>Raw_Data!H153</f>
        <v/>
      </c>
      <c r="I153" s="10">
        <f>Raw_Data!I153</f>
        <v/>
      </c>
      <c r="J153" s="11">
        <f>Raw_Data!J153</f>
        <v/>
      </c>
      <c r="K153" s="11">
        <f>Raw_Data!K153</f>
        <v/>
      </c>
      <c r="L153" s="11">
        <f>Raw_Data!L153</f>
        <v/>
      </c>
      <c r="M153" s="10">
        <f>Raw_Data!M153</f>
        <v/>
      </c>
      <c r="N153" s="10">
        <f>Raw_Data!N153</f>
        <v/>
      </c>
      <c r="O153" s="10">
        <f>Raw_Data!O153</f>
        <v/>
      </c>
      <c r="P153" s="11">
        <f>Raw_Data!P153</f>
        <v/>
      </c>
      <c r="R153" s="9">
        <f>IFERROR(Cleaned_Data!M153/Cleaned_Data!K153,0)</f>
        <v/>
      </c>
    </row>
    <row r="154">
      <c r="A154" s="7">
        <f>Raw_Data!A154</f>
        <v/>
      </c>
      <c r="B154" s="8">
        <f>Raw_Data!B154</f>
        <v/>
      </c>
      <c r="C154" s="8">
        <f>Raw_Data!C154</f>
        <v/>
      </c>
      <c r="D154" s="7">
        <f>Raw_Data!D154</f>
        <v/>
      </c>
      <c r="E154" s="7">
        <f>Raw_Data!E154</f>
        <v/>
      </c>
      <c r="F154" s="8">
        <f>Raw_Data!F154</f>
        <v/>
      </c>
      <c r="G154" s="8">
        <f>Raw_Data!G154</f>
        <v/>
      </c>
      <c r="H154" s="7">
        <f>Raw_Data!H154</f>
        <v/>
      </c>
      <c r="I154" s="7">
        <f>Raw_Data!I154</f>
        <v/>
      </c>
      <c r="J154" s="8">
        <f>Raw_Data!J154</f>
        <v/>
      </c>
      <c r="K154" s="8">
        <f>Raw_Data!K154</f>
        <v/>
      </c>
      <c r="L154" s="8">
        <f>Raw_Data!L154</f>
        <v/>
      </c>
      <c r="M154" s="7">
        <f>Raw_Data!M154</f>
        <v/>
      </c>
      <c r="N154" s="7">
        <f>Raw_Data!N154</f>
        <v/>
      </c>
      <c r="O154" s="7">
        <f>Raw_Data!O154</f>
        <v/>
      </c>
      <c r="P154" s="8">
        <f>Raw_Data!P154</f>
        <v/>
      </c>
      <c r="R154" s="9">
        <f>IFERROR(Cleaned_Data!M154/Cleaned_Data!K154,0)</f>
        <v/>
      </c>
    </row>
    <row r="155">
      <c r="A155" s="10">
        <f>Raw_Data!A155</f>
        <v/>
      </c>
      <c r="B155" s="11">
        <f>Raw_Data!B155</f>
        <v/>
      </c>
      <c r="C155" s="11">
        <f>Raw_Data!C155</f>
        <v/>
      </c>
      <c r="D155" s="10">
        <f>Raw_Data!D155</f>
        <v/>
      </c>
      <c r="E155" s="10">
        <f>Raw_Data!E155</f>
        <v/>
      </c>
      <c r="F155" s="11">
        <f>Raw_Data!F155</f>
        <v/>
      </c>
      <c r="G155" s="11">
        <f>Raw_Data!G155</f>
        <v/>
      </c>
      <c r="H155" s="10">
        <f>Raw_Data!H155</f>
        <v/>
      </c>
      <c r="I155" s="10">
        <f>Raw_Data!I155</f>
        <v/>
      </c>
      <c r="J155" s="11">
        <f>Raw_Data!J155</f>
        <v/>
      </c>
      <c r="K155" s="11">
        <f>Raw_Data!K155</f>
        <v/>
      </c>
      <c r="L155" s="11">
        <f>Raw_Data!L155</f>
        <v/>
      </c>
      <c r="M155" s="10">
        <f>Raw_Data!M155</f>
        <v/>
      </c>
      <c r="N155" s="10">
        <f>Raw_Data!N155</f>
        <v/>
      </c>
      <c r="O155" s="10">
        <f>Raw_Data!O155</f>
        <v/>
      </c>
      <c r="P155" s="11">
        <f>Raw_Data!P155</f>
        <v/>
      </c>
      <c r="R155" s="9">
        <f>IFERROR(Cleaned_Data!M155/Cleaned_Data!K155,0)</f>
        <v/>
      </c>
    </row>
    <row r="156">
      <c r="A156" s="7">
        <f>Raw_Data!A156</f>
        <v/>
      </c>
      <c r="B156" s="8">
        <f>Raw_Data!B156</f>
        <v/>
      </c>
      <c r="C156" s="8">
        <f>Raw_Data!C156</f>
        <v/>
      </c>
      <c r="D156" s="7">
        <f>Raw_Data!D156</f>
        <v/>
      </c>
      <c r="E156" s="7">
        <f>Raw_Data!E156</f>
        <v/>
      </c>
      <c r="F156" s="8">
        <f>Raw_Data!F156</f>
        <v/>
      </c>
      <c r="G156" s="8">
        <f>Raw_Data!G156</f>
        <v/>
      </c>
      <c r="H156" s="7">
        <f>Raw_Data!H156</f>
        <v/>
      </c>
      <c r="I156" s="7">
        <f>Raw_Data!I156</f>
        <v/>
      </c>
      <c r="J156" s="8">
        <f>Raw_Data!J156</f>
        <v/>
      </c>
      <c r="K156" s="8">
        <f>Raw_Data!K156</f>
        <v/>
      </c>
      <c r="L156" s="8">
        <f>Raw_Data!L156</f>
        <v/>
      </c>
      <c r="M156" s="7">
        <f>Raw_Data!M156</f>
        <v/>
      </c>
      <c r="N156" s="7">
        <f>Raw_Data!N156</f>
        <v/>
      </c>
      <c r="O156" s="7">
        <f>Raw_Data!O156</f>
        <v/>
      </c>
      <c r="P156" s="8">
        <f>Raw_Data!P156</f>
        <v/>
      </c>
      <c r="R156" s="9">
        <f>IFERROR(Cleaned_Data!M156/Cleaned_Data!K156,0)</f>
        <v/>
      </c>
    </row>
    <row r="157">
      <c r="A157" s="10">
        <f>Raw_Data!A157</f>
        <v/>
      </c>
      <c r="B157" s="11">
        <f>Raw_Data!B157</f>
        <v/>
      </c>
      <c r="C157" s="11">
        <f>Raw_Data!C157</f>
        <v/>
      </c>
      <c r="D157" s="10">
        <f>Raw_Data!D157</f>
        <v/>
      </c>
      <c r="E157" s="10">
        <f>Raw_Data!E157</f>
        <v/>
      </c>
      <c r="F157" s="11">
        <f>Raw_Data!F157</f>
        <v/>
      </c>
      <c r="G157" s="11">
        <f>Raw_Data!G157</f>
        <v/>
      </c>
      <c r="H157" s="10">
        <f>Raw_Data!H157</f>
        <v/>
      </c>
      <c r="I157" s="10">
        <f>Raw_Data!I157</f>
        <v/>
      </c>
      <c r="J157" s="11">
        <f>Raw_Data!J157</f>
        <v/>
      </c>
      <c r="K157" s="11">
        <f>Raw_Data!K157</f>
        <v/>
      </c>
      <c r="L157" s="11">
        <f>Raw_Data!L157</f>
        <v/>
      </c>
      <c r="M157" s="10">
        <f>Raw_Data!M157</f>
        <v/>
      </c>
      <c r="N157" s="10">
        <f>Raw_Data!N157</f>
        <v/>
      </c>
      <c r="O157" s="10">
        <f>Raw_Data!O157</f>
        <v/>
      </c>
      <c r="P157" s="11">
        <f>Raw_Data!P157</f>
        <v/>
      </c>
      <c r="R157" s="9">
        <f>IFERROR(Cleaned_Data!M157/Cleaned_Data!K157,0)</f>
        <v/>
      </c>
    </row>
    <row r="158">
      <c r="A158" s="7">
        <f>Raw_Data!A158</f>
        <v/>
      </c>
      <c r="B158" s="8">
        <f>Raw_Data!B158</f>
        <v/>
      </c>
      <c r="C158" s="8">
        <f>Raw_Data!C158</f>
        <v/>
      </c>
      <c r="D158" s="7">
        <f>Raw_Data!D158</f>
        <v/>
      </c>
      <c r="E158" s="7">
        <f>Raw_Data!E158</f>
        <v/>
      </c>
      <c r="F158" s="8">
        <f>Raw_Data!F158</f>
        <v/>
      </c>
      <c r="G158" s="8">
        <f>Raw_Data!G158</f>
        <v/>
      </c>
      <c r="H158" s="7">
        <f>Raw_Data!H158</f>
        <v/>
      </c>
      <c r="I158" s="7">
        <f>Raw_Data!I158</f>
        <v/>
      </c>
      <c r="J158" s="8">
        <f>Raw_Data!J158</f>
        <v/>
      </c>
      <c r="K158" s="8">
        <f>Raw_Data!K158</f>
        <v/>
      </c>
      <c r="L158" s="8">
        <f>Raw_Data!L158</f>
        <v/>
      </c>
      <c r="M158" s="7">
        <f>Raw_Data!M158</f>
        <v/>
      </c>
      <c r="N158" s="7">
        <f>Raw_Data!N158</f>
        <v/>
      </c>
      <c r="O158" s="7">
        <f>Raw_Data!O158</f>
        <v/>
      </c>
      <c r="P158" s="8">
        <f>Raw_Data!P158</f>
        <v/>
      </c>
      <c r="R158" s="9">
        <f>IFERROR(Cleaned_Data!M158/Cleaned_Data!K158,0)</f>
        <v/>
      </c>
    </row>
    <row r="159">
      <c r="A159" s="10">
        <f>Raw_Data!A159</f>
        <v/>
      </c>
      <c r="B159" s="11">
        <f>Raw_Data!B159</f>
        <v/>
      </c>
      <c r="C159" s="11">
        <f>Raw_Data!C159</f>
        <v/>
      </c>
      <c r="D159" s="10">
        <f>Raw_Data!D159</f>
        <v/>
      </c>
      <c r="E159" s="10">
        <f>Raw_Data!E159</f>
        <v/>
      </c>
      <c r="F159" s="11">
        <f>Raw_Data!F159</f>
        <v/>
      </c>
      <c r="G159" s="11">
        <f>Raw_Data!G159</f>
        <v/>
      </c>
      <c r="H159" s="10">
        <f>Raw_Data!H159</f>
        <v/>
      </c>
      <c r="I159" s="10">
        <f>Raw_Data!I159</f>
        <v/>
      </c>
      <c r="J159" s="11">
        <f>Raw_Data!J159</f>
        <v/>
      </c>
      <c r="K159" s="11">
        <f>Raw_Data!K159</f>
        <v/>
      </c>
      <c r="L159" s="11">
        <f>Raw_Data!L159</f>
        <v/>
      </c>
      <c r="M159" s="10">
        <f>Raw_Data!M159</f>
        <v/>
      </c>
      <c r="N159" s="10">
        <f>Raw_Data!N159</f>
        <v/>
      </c>
      <c r="O159" s="10">
        <f>Raw_Data!O159</f>
        <v/>
      </c>
      <c r="P159" s="11">
        <f>Raw_Data!P159</f>
        <v/>
      </c>
      <c r="R159" s="9">
        <f>IFERROR(Cleaned_Data!M159/Cleaned_Data!K159,0)</f>
        <v/>
      </c>
    </row>
    <row r="160">
      <c r="A160" s="7">
        <f>Raw_Data!A160</f>
        <v/>
      </c>
      <c r="B160" s="8">
        <f>Raw_Data!B160</f>
        <v/>
      </c>
      <c r="C160" s="8">
        <f>Raw_Data!C160</f>
        <v/>
      </c>
      <c r="D160" s="7">
        <f>Raw_Data!D160</f>
        <v/>
      </c>
      <c r="E160" s="7">
        <f>Raw_Data!E160</f>
        <v/>
      </c>
      <c r="F160" s="8">
        <f>Raw_Data!F160</f>
        <v/>
      </c>
      <c r="G160" s="8">
        <f>Raw_Data!G160</f>
        <v/>
      </c>
      <c r="H160" s="7">
        <f>Raw_Data!H160</f>
        <v/>
      </c>
      <c r="I160" s="7">
        <f>Raw_Data!I160</f>
        <v/>
      </c>
      <c r="J160" s="8">
        <f>Raw_Data!J160</f>
        <v/>
      </c>
      <c r="K160" s="8">
        <f>Raw_Data!K160</f>
        <v/>
      </c>
      <c r="L160" s="8">
        <f>Raw_Data!L160</f>
        <v/>
      </c>
      <c r="M160" s="7">
        <f>Raw_Data!M160</f>
        <v/>
      </c>
      <c r="N160" s="7">
        <f>Raw_Data!N160</f>
        <v/>
      </c>
      <c r="O160" s="7">
        <f>Raw_Data!O160</f>
        <v/>
      </c>
      <c r="P160" s="8">
        <f>Raw_Data!P160</f>
        <v/>
      </c>
      <c r="R160" s="9">
        <f>IFERROR(Cleaned_Data!M160/Cleaned_Data!K160,0)</f>
        <v/>
      </c>
    </row>
    <row r="161">
      <c r="A161" s="10">
        <f>Raw_Data!A161</f>
        <v/>
      </c>
      <c r="B161" s="11">
        <f>Raw_Data!B161</f>
        <v/>
      </c>
      <c r="C161" s="11">
        <f>Raw_Data!C161</f>
        <v/>
      </c>
      <c r="D161" s="10">
        <f>Raw_Data!D161</f>
        <v/>
      </c>
      <c r="E161" s="10">
        <f>Raw_Data!E161</f>
        <v/>
      </c>
      <c r="F161" s="11">
        <f>Raw_Data!F161</f>
        <v/>
      </c>
      <c r="G161" s="11">
        <f>Raw_Data!G161</f>
        <v/>
      </c>
      <c r="H161" s="10">
        <f>Raw_Data!H161</f>
        <v/>
      </c>
      <c r="I161" s="10">
        <f>Raw_Data!I161</f>
        <v/>
      </c>
      <c r="J161" s="11">
        <f>Raw_Data!J161</f>
        <v/>
      </c>
      <c r="K161" s="11">
        <f>Raw_Data!K161</f>
        <v/>
      </c>
      <c r="L161" s="11">
        <f>Raw_Data!L161</f>
        <v/>
      </c>
      <c r="M161" s="10">
        <f>Raw_Data!M161</f>
        <v/>
      </c>
      <c r="N161" s="10">
        <f>Raw_Data!N161</f>
        <v/>
      </c>
      <c r="O161" s="10">
        <f>Raw_Data!O161</f>
        <v/>
      </c>
      <c r="P161" s="11">
        <f>Raw_Data!P161</f>
        <v/>
      </c>
      <c r="R161" s="9">
        <f>IFERROR(Cleaned_Data!M161/Cleaned_Data!K161,0)</f>
        <v/>
      </c>
    </row>
    <row r="162">
      <c r="A162" s="7">
        <f>Raw_Data!A162</f>
        <v/>
      </c>
      <c r="B162" s="8">
        <f>Raw_Data!B162</f>
        <v/>
      </c>
      <c r="C162" s="8">
        <f>Raw_Data!C162</f>
        <v/>
      </c>
      <c r="D162" s="7">
        <f>Raw_Data!D162</f>
        <v/>
      </c>
      <c r="E162" s="7">
        <f>Raw_Data!E162</f>
        <v/>
      </c>
      <c r="F162" s="8">
        <f>Raw_Data!F162</f>
        <v/>
      </c>
      <c r="G162" s="8">
        <f>Raw_Data!G162</f>
        <v/>
      </c>
      <c r="H162" s="7">
        <f>Raw_Data!H162</f>
        <v/>
      </c>
      <c r="I162" s="7">
        <f>Raw_Data!I162</f>
        <v/>
      </c>
      <c r="J162" s="8">
        <f>Raw_Data!J162</f>
        <v/>
      </c>
      <c r="K162" s="8">
        <f>Raw_Data!K162</f>
        <v/>
      </c>
      <c r="L162" s="8">
        <f>Raw_Data!L162</f>
        <v/>
      </c>
      <c r="M162" s="7">
        <f>Raw_Data!M162</f>
        <v/>
      </c>
      <c r="N162" s="7">
        <f>Raw_Data!N162</f>
        <v/>
      </c>
      <c r="O162" s="7">
        <f>Raw_Data!O162</f>
        <v/>
      </c>
      <c r="P162" s="8">
        <f>Raw_Data!P162</f>
        <v/>
      </c>
      <c r="R162" s="9">
        <f>IFERROR(Cleaned_Data!M162/Cleaned_Data!K162,0)</f>
        <v/>
      </c>
    </row>
    <row r="163">
      <c r="A163" s="10">
        <f>Raw_Data!A163</f>
        <v/>
      </c>
      <c r="B163" s="11">
        <f>Raw_Data!B163</f>
        <v/>
      </c>
      <c r="C163" s="11">
        <f>Raw_Data!C163</f>
        <v/>
      </c>
      <c r="D163" s="10">
        <f>Raw_Data!D163</f>
        <v/>
      </c>
      <c r="E163" s="10">
        <f>Raw_Data!E163</f>
        <v/>
      </c>
      <c r="F163" s="11">
        <f>Raw_Data!F163</f>
        <v/>
      </c>
      <c r="G163" s="11">
        <f>Raw_Data!G163</f>
        <v/>
      </c>
      <c r="H163" s="10">
        <f>Raw_Data!H163</f>
        <v/>
      </c>
      <c r="I163" s="10">
        <f>Raw_Data!I163</f>
        <v/>
      </c>
      <c r="J163" s="11">
        <f>Raw_Data!J163</f>
        <v/>
      </c>
      <c r="K163" s="11">
        <f>Raw_Data!K163</f>
        <v/>
      </c>
      <c r="L163" s="11">
        <f>Raw_Data!L163</f>
        <v/>
      </c>
      <c r="M163" s="10">
        <f>Raw_Data!M163</f>
        <v/>
      </c>
      <c r="N163" s="10">
        <f>Raw_Data!N163</f>
        <v/>
      </c>
      <c r="O163" s="10">
        <f>Raw_Data!O163</f>
        <v/>
      </c>
      <c r="P163" s="11">
        <f>Raw_Data!P163</f>
        <v/>
      </c>
      <c r="R163" s="9">
        <f>IFERROR(Cleaned_Data!M163/Cleaned_Data!K163,0)</f>
        <v/>
      </c>
    </row>
    <row r="164">
      <c r="A164" s="7">
        <f>Raw_Data!A164</f>
        <v/>
      </c>
      <c r="B164" s="8">
        <f>Raw_Data!B164</f>
        <v/>
      </c>
      <c r="C164" s="8">
        <f>Raw_Data!C164</f>
        <v/>
      </c>
      <c r="D164" s="7">
        <f>Raw_Data!D164</f>
        <v/>
      </c>
      <c r="E164" s="7">
        <f>Raw_Data!E164</f>
        <v/>
      </c>
      <c r="F164" s="8">
        <f>Raw_Data!F164</f>
        <v/>
      </c>
      <c r="G164" s="8">
        <f>Raw_Data!G164</f>
        <v/>
      </c>
      <c r="H164" s="7">
        <f>Raw_Data!H164</f>
        <v/>
      </c>
      <c r="I164" s="7">
        <f>Raw_Data!I164</f>
        <v/>
      </c>
      <c r="J164" s="8">
        <f>Raw_Data!J164</f>
        <v/>
      </c>
      <c r="K164" s="8">
        <f>Raw_Data!K164</f>
        <v/>
      </c>
      <c r="L164" s="8">
        <f>Raw_Data!L164</f>
        <v/>
      </c>
      <c r="M164" s="7">
        <f>Raw_Data!M164</f>
        <v/>
      </c>
      <c r="N164" s="7">
        <f>Raw_Data!N164</f>
        <v/>
      </c>
      <c r="O164" s="7">
        <f>Raw_Data!O164</f>
        <v/>
      </c>
      <c r="P164" s="8">
        <f>Raw_Data!P164</f>
        <v/>
      </c>
      <c r="R164" s="9">
        <f>IFERROR(Cleaned_Data!M164/Cleaned_Data!K164,0)</f>
        <v/>
      </c>
    </row>
    <row r="165">
      <c r="A165" s="10">
        <f>Raw_Data!A165</f>
        <v/>
      </c>
      <c r="B165" s="11">
        <f>Raw_Data!B165</f>
        <v/>
      </c>
      <c r="C165" s="11">
        <f>Raw_Data!C165</f>
        <v/>
      </c>
      <c r="D165" s="10">
        <f>Raw_Data!D165</f>
        <v/>
      </c>
      <c r="E165" s="10">
        <f>Raw_Data!E165</f>
        <v/>
      </c>
      <c r="F165" s="11">
        <f>Raw_Data!F165</f>
        <v/>
      </c>
      <c r="G165" s="11">
        <f>Raw_Data!G165</f>
        <v/>
      </c>
      <c r="H165" s="10">
        <f>Raw_Data!H165</f>
        <v/>
      </c>
      <c r="I165" s="10">
        <f>Raw_Data!I165</f>
        <v/>
      </c>
      <c r="J165" s="11">
        <f>Raw_Data!J165</f>
        <v/>
      </c>
      <c r="K165" s="11">
        <f>Raw_Data!K165</f>
        <v/>
      </c>
      <c r="L165" s="11">
        <f>Raw_Data!L165</f>
        <v/>
      </c>
      <c r="M165" s="10">
        <f>Raw_Data!M165</f>
        <v/>
      </c>
      <c r="N165" s="10">
        <f>Raw_Data!N165</f>
        <v/>
      </c>
      <c r="O165" s="10">
        <f>Raw_Data!O165</f>
        <v/>
      </c>
      <c r="P165" s="11">
        <f>Raw_Data!P165</f>
        <v/>
      </c>
      <c r="R165" s="9">
        <f>IFERROR(Cleaned_Data!M165/Cleaned_Data!K165,0)</f>
        <v/>
      </c>
    </row>
    <row r="166">
      <c r="A166" s="7">
        <f>Raw_Data!A166</f>
        <v/>
      </c>
      <c r="B166" s="8">
        <f>Raw_Data!B166</f>
        <v/>
      </c>
      <c r="C166" s="8">
        <f>Raw_Data!C166</f>
        <v/>
      </c>
      <c r="D166" s="7">
        <f>Raw_Data!D166</f>
        <v/>
      </c>
      <c r="E166" s="7">
        <f>Raw_Data!E166</f>
        <v/>
      </c>
      <c r="F166" s="8">
        <f>Raw_Data!F166</f>
        <v/>
      </c>
      <c r="G166" s="8">
        <f>Raw_Data!G166</f>
        <v/>
      </c>
      <c r="H166" s="7">
        <f>Raw_Data!H166</f>
        <v/>
      </c>
      <c r="I166" s="7">
        <f>Raw_Data!I166</f>
        <v/>
      </c>
      <c r="J166" s="8">
        <f>Raw_Data!J166</f>
        <v/>
      </c>
      <c r="K166" s="8">
        <f>Raw_Data!K166</f>
        <v/>
      </c>
      <c r="L166" s="8">
        <f>Raw_Data!L166</f>
        <v/>
      </c>
      <c r="M166" s="7">
        <f>Raw_Data!M166</f>
        <v/>
      </c>
      <c r="N166" s="7">
        <f>Raw_Data!N166</f>
        <v/>
      </c>
      <c r="O166" s="7">
        <f>Raw_Data!O166</f>
        <v/>
      </c>
      <c r="P166" s="8">
        <f>Raw_Data!P166</f>
        <v/>
      </c>
      <c r="R166" s="9">
        <f>IFERROR(Cleaned_Data!M166/Cleaned_Data!K166,0)</f>
        <v/>
      </c>
    </row>
    <row r="167">
      <c r="A167" s="10">
        <f>Raw_Data!A167</f>
        <v/>
      </c>
      <c r="B167" s="11">
        <f>Raw_Data!B167</f>
        <v/>
      </c>
      <c r="C167" s="11">
        <f>Raw_Data!C167</f>
        <v/>
      </c>
      <c r="D167" s="10">
        <f>Raw_Data!D167</f>
        <v/>
      </c>
      <c r="E167" s="10">
        <f>Raw_Data!E167</f>
        <v/>
      </c>
      <c r="F167" s="11">
        <f>Raw_Data!F167</f>
        <v/>
      </c>
      <c r="G167" s="11">
        <f>Raw_Data!G167</f>
        <v/>
      </c>
      <c r="H167" s="10">
        <f>Raw_Data!H167</f>
        <v/>
      </c>
      <c r="I167" s="10">
        <f>Raw_Data!I167</f>
        <v/>
      </c>
      <c r="J167" s="11">
        <f>Raw_Data!J167</f>
        <v/>
      </c>
      <c r="K167" s="11">
        <f>Raw_Data!K167</f>
        <v/>
      </c>
      <c r="L167" s="11">
        <f>Raw_Data!L167</f>
        <v/>
      </c>
      <c r="M167" s="10">
        <f>Raw_Data!M167</f>
        <v/>
      </c>
      <c r="N167" s="10">
        <f>Raw_Data!N167</f>
        <v/>
      </c>
      <c r="O167" s="10">
        <f>Raw_Data!O167</f>
        <v/>
      </c>
      <c r="P167" s="11">
        <f>Raw_Data!P167</f>
        <v/>
      </c>
      <c r="R167" s="9">
        <f>IFERROR(Cleaned_Data!M167/Cleaned_Data!K167,0)</f>
        <v/>
      </c>
    </row>
    <row r="168">
      <c r="A168" s="7">
        <f>Raw_Data!A168</f>
        <v/>
      </c>
      <c r="B168" s="8">
        <f>Raw_Data!B168</f>
        <v/>
      </c>
      <c r="C168" s="8">
        <f>Raw_Data!C168</f>
        <v/>
      </c>
      <c r="D168" s="7">
        <f>Raw_Data!D168</f>
        <v/>
      </c>
      <c r="E168" s="7">
        <f>Raw_Data!E168</f>
        <v/>
      </c>
      <c r="F168" s="8">
        <f>Raw_Data!F168</f>
        <v/>
      </c>
      <c r="G168" s="8">
        <f>Raw_Data!G168</f>
        <v/>
      </c>
      <c r="H168" s="7">
        <f>Raw_Data!H168</f>
        <v/>
      </c>
      <c r="I168" s="7">
        <f>Raw_Data!I168</f>
        <v/>
      </c>
      <c r="J168" s="8">
        <f>Raw_Data!J168</f>
        <v/>
      </c>
      <c r="K168" s="8">
        <f>Raw_Data!K168</f>
        <v/>
      </c>
      <c r="L168" s="8">
        <f>Raw_Data!L168</f>
        <v/>
      </c>
      <c r="M168" s="7">
        <f>Raw_Data!M168</f>
        <v/>
      </c>
      <c r="N168" s="7">
        <f>Raw_Data!N168</f>
        <v/>
      </c>
      <c r="O168" s="7">
        <f>Raw_Data!O168</f>
        <v/>
      </c>
      <c r="P168" s="8">
        <f>Raw_Data!P168</f>
        <v/>
      </c>
      <c r="R168" s="9">
        <f>IFERROR(Cleaned_Data!M168/Cleaned_Data!K168,0)</f>
        <v/>
      </c>
    </row>
    <row r="169">
      <c r="A169" s="10">
        <f>Raw_Data!A169</f>
        <v/>
      </c>
      <c r="B169" s="11">
        <f>Raw_Data!B169</f>
        <v/>
      </c>
      <c r="C169" s="11">
        <f>Raw_Data!C169</f>
        <v/>
      </c>
      <c r="D169" s="10">
        <f>Raw_Data!D169</f>
        <v/>
      </c>
      <c r="E169" s="10">
        <f>Raw_Data!E169</f>
        <v/>
      </c>
      <c r="F169" s="11">
        <f>Raw_Data!F169</f>
        <v/>
      </c>
      <c r="G169" s="11">
        <f>Raw_Data!G169</f>
        <v/>
      </c>
      <c r="H169" s="10">
        <f>Raw_Data!H169</f>
        <v/>
      </c>
      <c r="I169" s="10">
        <f>Raw_Data!I169</f>
        <v/>
      </c>
      <c r="J169" s="11">
        <f>Raw_Data!J169</f>
        <v/>
      </c>
      <c r="K169" s="11">
        <f>Raw_Data!K169</f>
        <v/>
      </c>
      <c r="L169" s="11">
        <f>Raw_Data!L169</f>
        <v/>
      </c>
      <c r="M169" s="10">
        <f>Raw_Data!M169</f>
        <v/>
      </c>
      <c r="N169" s="10">
        <f>Raw_Data!N169</f>
        <v/>
      </c>
      <c r="O169" s="10">
        <f>Raw_Data!O169</f>
        <v/>
      </c>
      <c r="P169" s="11">
        <f>Raw_Data!P169</f>
        <v/>
      </c>
      <c r="R169" s="9">
        <f>IFERROR(Cleaned_Data!M169/Cleaned_Data!K169,0)</f>
        <v/>
      </c>
    </row>
    <row r="170">
      <c r="A170" s="7">
        <f>Raw_Data!A170</f>
        <v/>
      </c>
      <c r="B170" s="8">
        <f>Raw_Data!B170</f>
        <v/>
      </c>
      <c r="C170" s="8">
        <f>Raw_Data!C170</f>
        <v/>
      </c>
      <c r="D170" s="7">
        <f>Raw_Data!D170</f>
        <v/>
      </c>
      <c r="E170" s="7">
        <f>Raw_Data!E170</f>
        <v/>
      </c>
      <c r="F170" s="8">
        <f>Raw_Data!F170</f>
        <v/>
      </c>
      <c r="G170" s="8">
        <f>Raw_Data!G170</f>
        <v/>
      </c>
      <c r="H170" s="7">
        <f>Raw_Data!H170</f>
        <v/>
      </c>
      <c r="I170" s="7">
        <f>Raw_Data!I170</f>
        <v/>
      </c>
      <c r="J170" s="8">
        <f>Raw_Data!J170</f>
        <v/>
      </c>
      <c r="K170" s="8">
        <f>Raw_Data!K170</f>
        <v/>
      </c>
      <c r="L170" s="8">
        <f>Raw_Data!L170</f>
        <v/>
      </c>
      <c r="M170" s="7">
        <f>Raw_Data!M170</f>
        <v/>
      </c>
      <c r="N170" s="7">
        <f>Raw_Data!N170</f>
        <v/>
      </c>
      <c r="O170" s="7">
        <f>Raw_Data!O170</f>
        <v/>
      </c>
      <c r="P170" s="8">
        <f>Raw_Data!P170</f>
        <v/>
      </c>
      <c r="R170" s="9">
        <f>IFERROR(Cleaned_Data!M170/Cleaned_Data!K170,0)</f>
        <v/>
      </c>
    </row>
    <row r="171">
      <c r="A171" s="10">
        <f>Raw_Data!A171</f>
        <v/>
      </c>
      <c r="B171" s="11">
        <f>Raw_Data!B171</f>
        <v/>
      </c>
      <c r="C171" s="11">
        <f>Raw_Data!C171</f>
        <v/>
      </c>
      <c r="D171" s="10">
        <f>Raw_Data!D171</f>
        <v/>
      </c>
      <c r="E171" s="10">
        <f>Raw_Data!E171</f>
        <v/>
      </c>
      <c r="F171" s="11">
        <f>Raw_Data!F171</f>
        <v/>
      </c>
      <c r="G171" s="11">
        <f>Raw_Data!G171</f>
        <v/>
      </c>
      <c r="H171" s="10">
        <f>Raw_Data!H171</f>
        <v/>
      </c>
      <c r="I171" s="10">
        <f>Raw_Data!I171</f>
        <v/>
      </c>
      <c r="J171" s="11">
        <f>Raw_Data!J171</f>
        <v/>
      </c>
      <c r="K171" s="11">
        <f>Raw_Data!K171</f>
        <v/>
      </c>
      <c r="L171" s="11">
        <f>Raw_Data!L171</f>
        <v/>
      </c>
      <c r="M171" s="10">
        <f>Raw_Data!M171</f>
        <v/>
      </c>
      <c r="N171" s="10">
        <f>Raw_Data!N171</f>
        <v/>
      </c>
      <c r="O171" s="10">
        <f>Raw_Data!O171</f>
        <v/>
      </c>
      <c r="P171" s="11">
        <f>Raw_Data!P171</f>
        <v/>
      </c>
      <c r="R171" s="9">
        <f>IFERROR(Cleaned_Data!M171/Cleaned_Data!K171,0)</f>
        <v/>
      </c>
    </row>
    <row r="172">
      <c r="A172" s="7">
        <f>Raw_Data!A172</f>
        <v/>
      </c>
      <c r="B172" s="8">
        <f>Raw_Data!B172</f>
        <v/>
      </c>
      <c r="C172" s="8">
        <f>Raw_Data!C172</f>
        <v/>
      </c>
      <c r="D172" s="7">
        <f>Raw_Data!D172</f>
        <v/>
      </c>
      <c r="E172" s="7">
        <f>Raw_Data!E172</f>
        <v/>
      </c>
      <c r="F172" s="8">
        <f>Raw_Data!F172</f>
        <v/>
      </c>
      <c r="G172" s="8">
        <f>Raw_Data!G172</f>
        <v/>
      </c>
      <c r="H172" s="7">
        <f>Raw_Data!H172</f>
        <v/>
      </c>
      <c r="I172" s="7">
        <f>Raw_Data!I172</f>
        <v/>
      </c>
      <c r="J172" s="8">
        <f>Raw_Data!J172</f>
        <v/>
      </c>
      <c r="K172" s="8">
        <f>Raw_Data!K172</f>
        <v/>
      </c>
      <c r="L172" s="8">
        <f>Raw_Data!L172</f>
        <v/>
      </c>
      <c r="M172" s="7">
        <f>Raw_Data!M172</f>
        <v/>
      </c>
      <c r="N172" s="7">
        <f>Raw_Data!N172</f>
        <v/>
      </c>
      <c r="O172" s="7">
        <f>Raw_Data!O172</f>
        <v/>
      </c>
      <c r="P172" s="8">
        <f>Raw_Data!P172</f>
        <v/>
      </c>
      <c r="R172" s="9">
        <f>IFERROR(Cleaned_Data!M172/Cleaned_Data!K172,0)</f>
        <v/>
      </c>
    </row>
    <row r="173">
      <c r="A173" s="10">
        <f>Raw_Data!A173</f>
        <v/>
      </c>
      <c r="B173" s="11">
        <f>Raw_Data!B173</f>
        <v/>
      </c>
      <c r="C173" s="11">
        <f>Raw_Data!C173</f>
        <v/>
      </c>
      <c r="D173" s="10">
        <f>Raw_Data!D173</f>
        <v/>
      </c>
      <c r="E173" s="10">
        <f>Raw_Data!E173</f>
        <v/>
      </c>
      <c r="F173" s="11">
        <f>Raw_Data!F173</f>
        <v/>
      </c>
      <c r="G173" s="11">
        <f>Raw_Data!G173</f>
        <v/>
      </c>
      <c r="H173" s="10">
        <f>Raw_Data!H173</f>
        <v/>
      </c>
      <c r="I173" s="10">
        <f>Raw_Data!I173</f>
        <v/>
      </c>
      <c r="J173" s="11">
        <f>Raw_Data!J173</f>
        <v/>
      </c>
      <c r="K173" s="11">
        <f>Raw_Data!K173</f>
        <v/>
      </c>
      <c r="L173" s="11">
        <f>Raw_Data!L173</f>
        <v/>
      </c>
      <c r="M173" s="10">
        <f>Raw_Data!M173</f>
        <v/>
      </c>
      <c r="N173" s="10">
        <f>Raw_Data!N173</f>
        <v/>
      </c>
      <c r="O173" s="10">
        <f>Raw_Data!O173</f>
        <v/>
      </c>
      <c r="P173" s="11">
        <f>Raw_Data!P173</f>
        <v/>
      </c>
      <c r="R173" s="9">
        <f>IFERROR(Cleaned_Data!M173/Cleaned_Data!K173,0)</f>
        <v/>
      </c>
    </row>
    <row r="174">
      <c r="A174" s="7">
        <f>Raw_Data!A174</f>
        <v/>
      </c>
      <c r="B174" s="8">
        <f>Raw_Data!B174</f>
        <v/>
      </c>
      <c r="C174" s="8">
        <f>Raw_Data!C174</f>
        <v/>
      </c>
      <c r="D174" s="7">
        <f>Raw_Data!D174</f>
        <v/>
      </c>
      <c r="E174" s="7">
        <f>Raw_Data!E174</f>
        <v/>
      </c>
      <c r="F174" s="8">
        <f>Raw_Data!F174</f>
        <v/>
      </c>
      <c r="G174" s="8">
        <f>Raw_Data!G174</f>
        <v/>
      </c>
      <c r="H174" s="7">
        <f>Raw_Data!H174</f>
        <v/>
      </c>
      <c r="I174" s="7">
        <f>Raw_Data!I174</f>
        <v/>
      </c>
      <c r="J174" s="8">
        <f>Raw_Data!J174</f>
        <v/>
      </c>
      <c r="K174" s="8">
        <f>Raw_Data!K174</f>
        <v/>
      </c>
      <c r="L174" s="8">
        <f>Raw_Data!L174</f>
        <v/>
      </c>
      <c r="M174" s="7">
        <f>Raw_Data!M174</f>
        <v/>
      </c>
      <c r="N174" s="7">
        <f>Raw_Data!N174</f>
        <v/>
      </c>
      <c r="O174" s="7">
        <f>Raw_Data!O174</f>
        <v/>
      </c>
      <c r="P174" s="8">
        <f>Raw_Data!P174</f>
        <v/>
      </c>
      <c r="R174" s="9">
        <f>IFERROR(Cleaned_Data!M174/Cleaned_Data!K174,0)</f>
        <v/>
      </c>
    </row>
    <row r="175">
      <c r="A175" s="10">
        <f>Raw_Data!A175</f>
        <v/>
      </c>
      <c r="B175" s="11">
        <f>Raw_Data!B175</f>
        <v/>
      </c>
      <c r="C175" s="11">
        <f>Raw_Data!C175</f>
        <v/>
      </c>
      <c r="D175" s="10">
        <f>Raw_Data!D175</f>
        <v/>
      </c>
      <c r="E175" s="10">
        <f>Raw_Data!E175</f>
        <v/>
      </c>
      <c r="F175" s="11">
        <f>Raw_Data!F175</f>
        <v/>
      </c>
      <c r="G175" s="11">
        <f>Raw_Data!G175</f>
        <v/>
      </c>
      <c r="H175" s="10">
        <f>Raw_Data!H175</f>
        <v/>
      </c>
      <c r="I175" s="10">
        <f>Raw_Data!I175</f>
        <v/>
      </c>
      <c r="J175" s="11">
        <f>Raw_Data!J175</f>
        <v/>
      </c>
      <c r="K175" s="11">
        <f>Raw_Data!K175</f>
        <v/>
      </c>
      <c r="L175" s="11">
        <f>Raw_Data!L175</f>
        <v/>
      </c>
      <c r="M175" s="10">
        <f>Raw_Data!M175</f>
        <v/>
      </c>
      <c r="N175" s="10">
        <f>Raw_Data!N175</f>
        <v/>
      </c>
      <c r="O175" s="10">
        <f>Raw_Data!O175</f>
        <v/>
      </c>
      <c r="P175" s="11">
        <f>Raw_Data!P175</f>
        <v/>
      </c>
      <c r="R175" s="9">
        <f>IFERROR(Cleaned_Data!M175/Cleaned_Data!K175,0)</f>
        <v/>
      </c>
    </row>
    <row r="176">
      <c r="A176" s="7">
        <f>Raw_Data!A176</f>
        <v/>
      </c>
      <c r="B176" s="8">
        <f>Raw_Data!B176</f>
        <v/>
      </c>
      <c r="C176" s="8">
        <f>Raw_Data!C176</f>
        <v/>
      </c>
      <c r="D176" s="7">
        <f>Raw_Data!D176</f>
        <v/>
      </c>
      <c r="E176" s="7">
        <f>Raw_Data!E176</f>
        <v/>
      </c>
      <c r="F176" s="8">
        <f>Raw_Data!F176</f>
        <v/>
      </c>
      <c r="G176" s="8">
        <f>Raw_Data!G176</f>
        <v/>
      </c>
      <c r="H176" s="7">
        <f>Raw_Data!H176</f>
        <v/>
      </c>
      <c r="I176" s="7">
        <f>Raw_Data!I176</f>
        <v/>
      </c>
      <c r="J176" s="8">
        <f>Raw_Data!J176</f>
        <v/>
      </c>
      <c r="K176" s="8">
        <f>Raw_Data!K176</f>
        <v/>
      </c>
      <c r="L176" s="8">
        <f>Raw_Data!L176</f>
        <v/>
      </c>
      <c r="M176" s="7">
        <f>Raw_Data!M176</f>
        <v/>
      </c>
      <c r="N176" s="7">
        <f>Raw_Data!N176</f>
        <v/>
      </c>
      <c r="O176" s="7">
        <f>Raw_Data!O176</f>
        <v/>
      </c>
      <c r="P176" s="8">
        <f>Raw_Data!P176</f>
        <v/>
      </c>
      <c r="R176" s="9">
        <f>IFERROR(Cleaned_Data!M176/Cleaned_Data!K176,0)</f>
        <v/>
      </c>
    </row>
    <row r="177">
      <c r="A177" s="10">
        <f>Raw_Data!A177</f>
        <v/>
      </c>
      <c r="B177" s="11">
        <f>Raw_Data!B177</f>
        <v/>
      </c>
      <c r="C177" s="11">
        <f>Raw_Data!C177</f>
        <v/>
      </c>
      <c r="D177" s="10">
        <f>Raw_Data!D177</f>
        <v/>
      </c>
      <c r="E177" s="10">
        <f>Raw_Data!E177</f>
        <v/>
      </c>
      <c r="F177" s="11">
        <f>Raw_Data!F177</f>
        <v/>
      </c>
      <c r="G177" s="11">
        <f>Raw_Data!G177</f>
        <v/>
      </c>
      <c r="H177" s="10">
        <f>Raw_Data!H177</f>
        <v/>
      </c>
      <c r="I177" s="10">
        <f>Raw_Data!I177</f>
        <v/>
      </c>
      <c r="J177" s="11">
        <f>Raw_Data!J177</f>
        <v/>
      </c>
      <c r="K177" s="11">
        <f>Raw_Data!K177</f>
        <v/>
      </c>
      <c r="L177" s="11">
        <f>Raw_Data!L177</f>
        <v/>
      </c>
      <c r="M177" s="10">
        <f>Raw_Data!M177</f>
        <v/>
      </c>
      <c r="N177" s="10">
        <f>Raw_Data!N177</f>
        <v/>
      </c>
      <c r="O177" s="10">
        <f>Raw_Data!O177</f>
        <v/>
      </c>
      <c r="P177" s="11">
        <f>Raw_Data!P177</f>
        <v/>
      </c>
      <c r="R177" s="9">
        <f>IFERROR(Cleaned_Data!M177/Cleaned_Data!K177,0)</f>
        <v/>
      </c>
    </row>
    <row r="178">
      <c r="A178" s="7">
        <f>Raw_Data!A178</f>
        <v/>
      </c>
      <c r="B178" s="8">
        <f>Raw_Data!B178</f>
        <v/>
      </c>
      <c r="C178" s="8">
        <f>Raw_Data!C178</f>
        <v/>
      </c>
      <c r="D178" s="7">
        <f>Raw_Data!D178</f>
        <v/>
      </c>
      <c r="E178" s="7">
        <f>Raw_Data!E178</f>
        <v/>
      </c>
      <c r="F178" s="8">
        <f>Raw_Data!F178</f>
        <v/>
      </c>
      <c r="G178" s="8">
        <f>Raw_Data!G178</f>
        <v/>
      </c>
      <c r="H178" s="7">
        <f>Raw_Data!H178</f>
        <v/>
      </c>
      <c r="I178" s="7">
        <f>Raw_Data!I178</f>
        <v/>
      </c>
      <c r="J178" s="8">
        <f>Raw_Data!J178</f>
        <v/>
      </c>
      <c r="K178" s="8">
        <f>Raw_Data!K178</f>
        <v/>
      </c>
      <c r="L178" s="8">
        <f>Raw_Data!L178</f>
        <v/>
      </c>
      <c r="M178" s="7">
        <f>Raw_Data!M178</f>
        <v/>
      </c>
      <c r="N178" s="7">
        <f>Raw_Data!N178</f>
        <v/>
      </c>
      <c r="O178" s="7">
        <f>Raw_Data!O178</f>
        <v/>
      </c>
      <c r="P178" s="8">
        <f>Raw_Data!P178</f>
        <v/>
      </c>
      <c r="R178" s="9">
        <f>IFERROR(Cleaned_Data!M178/Cleaned_Data!K178,0)</f>
        <v/>
      </c>
    </row>
    <row r="179">
      <c r="A179" s="10">
        <f>Raw_Data!A179</f>
        <v/>
      </c>
      <c r="B179" s="11">
        <f>Raw_Data!B179</f>
        <v/>
      </c>
      <c r="C179" s="11">
        <f>Raw_Data!C179</f>
        <v/>
      </c>
      <c r="D179" s="10">
        <f>Raw_Data!D179</f>
        <v/>
      </c>
      <c r="E179" s="10">
        <f>Raw_Data!E179</f>
        <v/>
      </c>
      <c r="F179" s="11">
        <f>Raw_Data!F179</f>
        <v/>
      </c>
      <c r="G179" s="11">
        <f>Raw_Data!G179</f>
        <v/>
      </c>
      <c r="H179" s="10">
        <f>Raw_Data!H179</f>
        <v/>
      </c>
      <c r="I179" s="10">
        <f>Raw_Data!I179</f>
        <v/>
      </c>
      <c r="J179" s="11">
        <f>Raw_Data!J179</f>
        <v/>
      </c>
      <c r="K179" s="11">
        <f>Raw_Data!K179</f>
        <v/>
      </c>
      <c r="L179" s="11">
        <f>Raw_Data!L179</f>
        <v/>
      </c>
      <c r="M179" s="10">
        <f>Raw_Data!M179</f>
        <v/>
      </c>
      <c r="N179" s="10">
        <f>Raw_Data!N179</f>
        <v/>
      </c>
      <c r="O179" s="10">
        <f>Raw_Data!O179</f>
        <v/>
      </c>
      <c r="P179" s="11">
        <f>Raw_Data!P179</f>
        <v/>
      </c>
      <c r="R179" s="9">
        <f>IFERROR(Cleaned_Data!M179/Cleaned_Data!K179,0)</f>
        <v/>
      </c>
    </row>
    <row r="180">
      <c r="A180" s="7">
        <f>Raw_Data!A180</f>
        <v/>
      </c>
      <c r="B180" s="8">
        <f>Raw_Data!B180</f>
        <v/>
      </c>
      <c r="C180" s="8">
        <f>Raw_Data!C180</f>
        <v/>
      </c>
      <c r="D180" s="7">
        <f>Raw_Data!D180</f>
        <v/>
      </c>
      <c r="E180" s="7">
        <f>Raw_Data!E180</f>
        <v/>
      </c>
      <c r="F180" s="8">
        <f>Raw_Data!F180</f>
        <v/>
      </c>
      <c r="G180" s="8">
        <f>Raw_Data!G180</f>
        <v/>
      </c>
      <c r="H180" s="7">
        <f>Raw_Data!H180</f>
        <v/>
      </c>
      <c r="I180" s="7">
        <f>Raw_Data!I180</f>
        <v/>
      </c>
      <c r="J180" s="8">
        <f>Raw_Data!J180</f>
        <v/>
      </c>
      <c r="K180" s="8">
        <f>Raw_Data!K180</f>
        <v/>
      </c>
      <c r="L180" s="8">
        <f>Raw_Data!L180</f>
        <v/>
      </c>
      <c r="M180" s="7">
        <f>Raw_Data!M180</f>
        <v/>
      </c>
      <c r="N180" s="7">
        <f>Raw_Data!N180</f>
        <v/>
      </c>
      <c r="O180" s="7">
        <f>Raw_Data!O180</f>
        <v/>
      </c>
      <c r="P180" s="8">
        <f>Raw_Data!P180</f>
        <v/>
      </c>
      <c r="R180" s="9">
        <f>IFERROR(Cleaned_Data!M180/Cleaned_Data!K180,0)</f>
        <v/>
      </c>
    </row>
    <row r="181">
      <c r="A181" s="10">
        <f>Raw_Data!A181</f>
        <v/>
      </c>
      <c r="B181" s="11">
        <f>Raw_Data!B181</f>
        <v/>
      </c>
      <c r="C181" s="11">
        <f>Raw_Data!C181</f>
        <v/>
      </c>
      <c r="D181" s="10">
        <f>Raw_Data!D181</f>
        <v/>
      </c>
      <c r="E181" s="10">
        <f>Raw_Data!E181</f>
        <v/>
      </c>
      <c r="F181" s="11">
        <f>Raw_Data!F181</f>
        <v/>
      </c>
      <c r="G181" s="11">
        <f>Raw_Data!G181</f>
        <v/>
      </c>
      <c r="H181" s="10">
        <f>Raw_Data!H181</f>
        <v/>
      </c>
      <c r="I181" s="10">
        <f>Raw_Data!I181</f>
        <v/>
      </c>
      <c r="J181" s="11">
        <f>Raw_Data!J181</f>
        <v/>
      </c>
      <c r="K181" s="11">
        <f>Raw_Data!K181</f>
        <v/>
      </c>
      <c r="L181" s="11">
        <f>Raw_Data!L181</f>
        <v/>
      </c>
      <c r="M181" s="10">
        <f>Raw_Data!M181</f>
        <v/>
      </c>
      <c r="N181" s="10">
        <f>Raw_Data!N181</f>
        <v/>
      </c>
      <c r="O181" s="10">
        <f>Raw_Data!O181</f>
        <v/>
      </c>
      <c r="P181" s="11">
        <f>Raw_Data!P181</f>
        <v/>
      </c>
      <c r="R181" s="9">
        <f>IFERROR(Cleaned_Data!M181/Cleaned_Data!K181,0)</f>
        <v/>
      </c>
    </row>
    <row r="182">
      <c r="A182" s="7">
        <f>Raw_Data!A182</f>
        <v/>
      </c>
      <c r="B182" s="8">
        <f>Raw_Data!B182</f>
        <v/>
      </c>
      <c r="C182" s="8">
        <f>Raw_Data!C182</f>
        <v/>
      </c>
      <c r="D182" s="7">
        <f>Raw_Data!D182</f>
        <v/>
      </c>
      <c r="E182" s="7">
        <f>Raw_Data!E182</f>
        <v/>
      </c>
      <c r="F182" s="8">
        <f>Raw_Data!F182</f>
        <v/>
      </c>
      <c r="G182" s="8">
        <f>Raw_Data!G182</f>
        <v/>
      </c>
      <c r="H182" s="7">
        <f>Raw_Data!H182</f>
        <v/>
      </c>
      <c r="I182" s="7">
        <f>Raw_Data!I182</f>
        <v/>
      </c>
      <c r="J182" s="8">
        <f>Raw_Data!J182</f>
        <v/>
      </c>
      <c r="K182" s="8">
        <f>Raw_Data!K182</f>
        <v/>
      </c>
      <c r="L182" s="8">
        <f>Raw_Data!L182</f>
        <v/>
      </c>
      <c r="M182" s="7">
        <f>Raw_Data!M182</f>
        <v/>
      </c>
      <c r="N182" s="7">
        <f>Raw_Data!N182</f>
        <v/>
      </c>
      <c r="O182" s="7">
        <f>Raw_Data!O182</f>
        <v/>
      </c>
      <c r="P182" s="8">
        <f>Raw_Data!P182</f>
        <v/>
      </c>
      <c r="R182" s="9">
        <f>IFERROR(Cleaned_Data!M182/Cleaned_Data!K182,0)</f>
        <v/>
      </c>
    </row>
    <row r="183">
      <c r="A183" s="10">
        <f>Raw_Data!A183</f>
        <v/>
      </c>
      <c r="B183" s="11">
        <f>Raw_Data!B183</f>
        <v/>
      </c>
      <c r="C183" s="11">
        <f>Raw_Data!C183</f>
        <v/>
      </c>
      <c r="D183" s="10">
        <f>Raw_Data!D183</f>
        <v/>
      </c>
      <c r="E183" s="10">
        <f>Raw_Data!E183</f>
        <v/>
      </c>
      <c r="F183" s="11">
        <f>Raw_Data!F183</f>
        <v/>
      </c>
      <c r="G183" s="11">
        <f>Raw_Data!G183</f>
        <v/>
      </c>
      <c r="H183" s="10">
        <f>Raw_Data!H183</f>
        <v/>
      </c>
      <c r="I183" s="10">
        <f>Raw_Data!I183</f>
        <v/>
      </c>
      <c r="J183" s="11">
        <f>Raw_Data!J183</f>
        <v/>
      </c>
      <c r="K183" s="11">
        <f>Raw_Data!K183</f>
        <v/>
      </c>
      <c r="L183" s="11">
        <f>Raw_Data!L183</f>
        <v/>
      </c>
      <c r="M183" s="10">
        <f>Raw_Data!M183</f>
        <v/>
      </c>
      <c r="N183" s="10">
        <f>Raw_Data!N183</f>
        <v/>
      </c>
      <c r="O183" s="10">
        <f>Raw_Data!O183</f>
        <v/>
      </c>
      <c r="P183" s="11">
        <f>Raw_Data!P183</f>
        <v/>
      </c>
      <c r="R183" s="9">
        <f>IFERROR(Cleaned_Data!M183/Cleaned_Data!K183,0)</f>
        <v/>
      </c>
    </row>
    <row r="184">
      <c r="A184" s="7">
        <f>Raw_Data!A184</f>
        <v/>
      </c>
      <c r="B184" s="8">
        <f>Raw_Data!B184</f>
        <v/>
      </c>
      <c r="C184" s="8">
        <f>Raw_Data!C184</f>
        <v/>
      </c>
      <c r="D184" s="7">
        <f>Raw_Data!D184</f>
        <v/>
      </c>
      <c r="E184" s="7">
        <f>Raw_Data!E184</f>
        <v/>
      </c>
      <c r="F184" s="8">
        <f>Raw_Data!F184</f>
        <v/>
      </c>
      <c r="G184" s="8">
        <f>Raw_Data!G184</f>
        <v/>
      </c>
      <c r="H184" s="7">
        <f>Raw_Data!H184</f>
        <v/>
      </c>
      <c r="I184" s="7">
        <f>Raw_Data!I184</f>
        <v/>
      </c>
      <c r="J184" s="8">
        <f>Raw_Data!J184</f>
        <v/>
      </c>
      <c r="K184" s="8">
        <f>Raw_Data!K184</f>
        <v/>
      </c>
      <c r="L184" s="8">
        <f>Raw_Data!L184</f>
        <v/>
      </c>
      <c r="M184" s="7">
        <f>Raw_Data!M184</f>
        <v/>
      </c>
      <c r="N184" s="7">
        <f>Raw_Data!N184</f>
        <v/>
      </c>
      <c r="O184" s="7">
        <f>Raw_Data!O184</f>
        <v/>
      </c>
      <c r="P184" s="8">
        <f>Raw_Data!P184</f>
        <v/>
      </c>
      <c r="R184" s="9">
        <f>IFERROR(Cleaned_Data!M184/Cleaned_Data!K184,0)</f>
        <v/>
      </c>
    </row>
    <row r="185">
      <c r="A185" s="10">
        <f>Raw_Data!A185</f>
        <v/>
      </c>
      <c r="B185" s="11">
        <f>Raw_Data!B185</f>
        <v/>
      </c>
      <c r="C185" s="11">
        <f>Raw_Data!C185</f>
        <v/>
      </c>
      <c r="D185" s="10">
        <f>Raw_Data!D185</f>
        <v/>
      </c>
      <c r="E185" s="10">
        <f>Raw_Data!E185</f>
        <v/>
      </c>
      <c r="F185" s="11">
        <f>Raw_Data!F185</f>
        <v/>
      </c>
      <c r="G185" s="11">
        <f>Raw_Data!G185</f>
        <v/>
      </c>
      <c r="H185" s="10">
        <f>Raw_Data!H185</f>
        <v/>
      </c>
      <c r="I185" s="10">
        <f>Raw_Data!I185</f>
        <v/>
      </c>
      <c r="J185" s="11">
        <f>Raw_Data!J185</f>
        <v/>
      </c>
      <c r="K185" s="11">
        <f>Raw_Data!K185</f>
        <v/>
      </c>
      <c r="L185" s="11">
        <f>Raw_Data!L185</f>
        <v/>
      </c>
      <c r="M185" s="10">
        <f>Raw_Data!M185</f>
        <v/>
      </c>
      <c r="N185" s="10">
        <f>Raw_Data!N185</f>
        <v/>
      </c>
      <c r="O185" s="10">
        <f>Raw_Data!O185</f>
        <v/>
      </c>
      <c r="P185" s="11">
        <f>Raw_Data!P185</f>
        <v/>
      </c>
      <c r="R185" s="9">
        <f>IFERROR(Cleaned_Data!M185/Cleaned_Data!K185,0)</f>
        <v/>
      </c>
    </row>
    <row r="186">
      <c r="A186" s="7">
        <f>Raw_Data!A186</f>
        <v/>
      </c>
      <c r="B186" s="8">
        <f>Raw_Data!B186</f>
        <v/>
      </c>
      <c r="C186" s="8">
        <f>Raw_Data!C186</f>
        <v/>
      </c>
      <c r="D186" s="7">
        <f>Raw_Data!D186</f>
        <v/>
      </c>
      <c r="E186" s="7">
        <f>Raw_Data!E186</f>
        <v/>
      </c>
      <c r="F186" s="8">
        <f>Raw_Data!F186</f>
        <v/>
      </c>
      <c r="G186" s="8">
        <f>Raw_Data!G186</f>
        <v/>
      </c>
      <c r="H186" s="7">
        <f>Raw_Data!H186</f>
        <v/>
      </c>
      <c r="I186" s="7">
        <f>Raw_Data!I186</f>
        <v/>
      </c>
      <c r="J186" s="8">
        <f>Raw_Data!J186</f>
        <v/>
      </c>
      <c r="K186" s="8">
        <f>Raw_Data!K186</f>
        <v/>
      </c>
      <c r="L186" s="8">
        <f>Raw_Data!L186</f>
        <v/>
      </c>
      <c r="M186" s="7">
        <f>Raw_Data!M186</f>
        <v/>
      </c>
      <c r="N186" s="7">
        <f>Raw_Data!N186</f>
        <v/>
      </c>
      <c r="O186" s="7">
        <f>Raw_Data!O186</f>
        <v/>
      </c>
      <c r="P186" s="8">
        <f>Raw_Data!P186</f>
        <v/>
      </c>
      <c r="R186" s="9">
        <f>IFERROR(Cleaned_Data!M186/Cleaned_Data!K186,0)</f>
        <v/>
      </c>
    </row>
    <row r="187">
      <c r="A187" s="10">
        <f>Raw_Data!A187</f>
        <v/>
      </c>
      <c r="B187" s="11">
        <f>Raw_Data!B187</f>
        <v/>
      </c>
      <c r="C187" s="11">
        <f>Raw_Data!C187</f>
        <v/>
      </c>
      <c r="D187" s="10">
        <f>Raw_Data!D187</f>
        <v/>
      </c>
      <c r="E187" s="10">
        <f>Raw_Data!E187</f>
        <v/>
      </c>
      <c r="F187" s="11">
        <f>Raw_Data!F187</f>
        <v/>
      </c>
      <c r="G187" s="11">
        <f>Raw_Data!G187</f>
        <v/>
      </c>
      <c r="H187" s="10">
        <f>Raw_Data!H187</f>
        <v/>
      </c>
      <c r="I187" s="10">
        <f>Raw_Data!I187</f>
        <v/>
      </c>
      <c r="J187" s="11">
        <f>Raw_Data!J187</f>
        <v/>
      </c>
      <c r="K187" s="11">
        <f>Raw_Data!K187</f>
        <v/>
      </c>
      <c r="L187" s="11">
        <f>Raw_Data!L187</f>
        <v/>
      </c>
      <c r="M187" s="10">
        <f>Raw_Data!M187</f>
        <v/>
      </c>
      <c r="N187" s="10">
        <f>Raw_Data!N187</f>
        <v/>
      </c>
      <c r="O187" s="10">
        <f>Raw_Data!O187</f>
        <v/>
      </c>
      <c r="P187" s="11">
        <f>Raw_Data!P187</f>
        <v/>
      </c>
      <c r="R187" s="9">
        <f>IFERROR(Cleaned_Data!M187/Cleaned_Data!K187,0)</f>
        <v/>
      </c>
    </row>
    <row r="188">
      <c r="A188" s="7">
        <f>Raw_Data!A188</f>
        <v/>
      </c>
      <c r="B188" s="8">
        <f>Raw_Data!B188</f>
        <v/>
      </c>
      <c r="C188" s="8">
        <f>Raw_Data!C188</f>
        <v/>
      </c>
      <c r="D188" s="7">
        <f>Raw_Data!D188</f>
        <v/>
      </c>
      <c r="E188" s="7">
        <f>Raw_Data!E188</f>
        <v/>
      </c>
      <c r="F188" s="8">
        <f>Raw_Data!F188</f>
        <v/>
      </c>
      <c r="G188" s="8">
        <f>Raw_Data!G188</f>
        <v/>
      </c>
      <c r="H188" s="7">
        <f>Raw_Data!H188</f>
        <v/>
      </c>
      <c r="I188" s="7">
        <f>Raw_Data!I188</f>
        <v/>
      </c>
      <c r="J188" s="8">
        <f>Raw_Data!J188</f>
        <v/>
      </c>
      <c r="K188" s="8">
        <f>Raw_Data!K188</f>
        <v/>
      </c>
      <c r="L188" s="8">
        <f>Raw_Data!L188</f>
        <v/>
      </c>
      <c r="M188" s="7">
        <f>Raw_Data!M188</f>
        <v/>
      </c>
      <c r="N188" s="7">
        <f>Raw_Data!N188</f>
        <v/>
      </c>
      <c r="O188" s="7">
        <f>Raw_Data!O188</f>
        <v/>
      </c>
      <c r="P188" s="8">
        <f>Raw_Data!P188</f>
        <v/>
      </c>
      <c r="R188" s="9">
        <f>IFERROR(Cleaned_Data!M188/Cleaned_Data!K188,0)</f>
        <v/>
      </c>
    </row>
    <row r="189">
      <c r="A189" s="10">
        <f>Raw_Data!A189</f>
        <v/>
      </c>
      <c r="B189" s="11">
        <f>Raw_Data!B189</f>
        <v/>
      </c>
      <c r="C189" s="11">
        <f>Raw_Data!C189</f>
        <v/>
      </c>
      <c r="D189" s="10">
        <f>Raw_Data!D189</f>
        <v/>
      </c>
      <c r="E189" s="10">
        <f>Raw_Data!E189</f>
        <v/>
      </c>
      <c r="F189" s="11">
        <f>Raw_Data!F189</f>
        <v/>
      </c>
      <c r="G189" s="11">
        <f>Raw_Data!G189</f>
        <v/>
      </c>
      <c r="H189" s="10">
        <f>Raw_Data!H189</f>
        <v/>
      </c>
      <c r="I189" s="10">
        <f>Raw_Data!I189</f>
        <v/>
      </c>
      <c r="J189" s="11">
        <f>Raw_Data!J189</f>
        <v/>
      </c>
      <c r="K189" s="11">
        <f>Raw_Data!K189</f>
        <v/>
      </c>
      <c r="L189" s="11">
        <f>Raw_Data!L189</f>
        <v/>
      </c>
      <c r="M189" s="10">
        <f>Raw_Data!M189</f>
        <v/>
      </c>
      <c r="N189" s="10">
        <f>Raw_Data!N189</f>
        <v/>
      </c>
      <c r="O189" s="10">
        <f>Raw_Data!O189</f>
        <v/>
      </c>
      <c r="P189" s="11">
        <f>Raw_Data!P189</f>
        <v/>
      </c>
      <c r="R189" s="9">
        <f>IFERROR(Cleaned_Data!M189/Cleaned_Data!K189,0)</f>
        <v/>
      </c>
    </row>
    <row r="190">
      <c r="A190" s="7">
        <f>Raw_Data!A190</f>
        <v/>
      </c>
      <c r="B190" s="8">
        <f>Raw_Data!B190</f>
        <v/>
      </c>
      <c r="C190" s="8">
        <f>Raw_Data!C190</f>
        <v/>
      </c>
      <c r="D190" s="7">
        <f>Raw_Data!D190</f>
        <v/>
      </c>
      <c r="E190" s="7">
        <f>Raw_Data!E190</f>
        <v/>
      </c>
      <c r="F190" s="8">
        <f>Raw_Data!F190</f>
        <v/>
      </c>
      <c r="G190" s="8">
        <f>Raw_Data!G190</f>
        <v/>
      </c>
      <c r="H190" s="7">
        <f>Raw_Data!H190</f>
        <v/>
      </c>
      <c r="I190" s="7">
        <f>Raw_Data!I190</f>
        <v/>
      </c>
      <c r="J190" s="8">
        <f>Raw_Data!J190</f>
        <v/>
      </c>
      <c r="K190" s="8">
        <f>Raw_Data!K190</f>
        <v/>
      </c>
      <c r="L190" s="8">
        <f>Raw_Data!L190</f>
        <v/>
      </c>
      <c r="M190" s="7">
        <f>Raw_Data!M190</f>
        <v/>
      </c>
      <c r="N190" s="7">
        <f>Raw_Data!N190</f>
        <v/>
      </c>
      <c r="O190" s="7">
        <f>Raw_Data!O190</f>
        <v/>
      </c>
      <c r="P190" s="8">
        <f>Raw_Data!P190</f>
        <v/>
      </c>
      <c r="R190" s="9">
        <f>IFERROR(Cleaned_Data!M190/Cleaned_Data!K190,0)</f>
        <v/>
      </c>
    </row>
    <row r="191">
      <c r="A191" s="10">
        <f>Raw_Data!A191</f>
        <v/>
      </c>
      <c r="B191" s="11">
        <f>Raw_Data!B191</f>
        <v/>
      </c>
      <c r="C191" s="11">
        <f>Raw_Data!C191</f>
        <v/>
      </c>
      <c r="D191" s="10">
        <f>Raw_Data!D191</f>
        <v/>
      </c>
      <c r="E191" s="10">
        <f>Raw_Data!E191</f>
        <v/>
      </c>
      <c r="F191" s="11">
        <f>Raw_Data!F191</f>
        <v/>
      </c>
      <c r="G191" s="11">
        <f>Raw_Data!G191</f>
        <v/>
      </c>
      <c r="H191" s="10">
        <f>Raw_Data!H191</f>
        <v/>
      </c>
      <c r="I191" s="10">
        <f>Raw_Data!I191</f>
        <v/>
      </c>
      <c r="J191" s="11">
        <f>Raw_Data!J191</f>
        <v/>
      </c>
      <c r="K191" s="11">
        <f>Raw_Data!K191</f>
        <v/>
      </c>
      <c r="L191" s="11">
        <f>Raw_Data!L191</f>
        <v/>
      </c>
      <c r="M191" s="10">
        <f>Raw_Data!M191</f>
        <v/>
      </c>
      <c r="N191" s="10">
        <f>Raw_Data!N191</f>
        <v/>
      </c>
      <c r="O191" s="10">
        <f>Raw_Data!O191</f>
        <v/>
      </c>
      <c r="P191" s="11">
        <f>Raw_Data!P191</f>
        <v/>
      </c>
      <c r="R191" s="9">
        <f>IFERROR(Cleaned_Data!M191/Cleaned_Data!K191,0)</f>
        <v/>
      </c>
    </row>
    <row r="192">
      <c r="A192" s="7">
        <f>Raw_Data!A192</f>
        <v/>
      </c>
      <c r="B192" s="8">
        <f>Raw_Data!B192</f>
        <v/>
      </c>
      <c r="C192" s="8">
        <f>Raw_Data!C192</f>
        <v/>
      </c>
      <c r="D192" s="7">
        <f>Raw_Data!D192</f>
        <v/>
      </c>
      <c r="E192" s="7">
        <f>Raw_Data!E192</f>
        <v/>
      </c>
      <c r="F192" s="8">
        <f>Raw_Data!F192</f>
        <v/>
      </c>
      <c r="G192" s="8">
        <f>Raw_Data!G192</f>
        <v/>
      </c>
      <c r="H192" s="7">
        <f>Raw_Data!H192</f>
        <v/>
      </c>
      <c r="I192" s="7">
        <f>Raw_Data!I192</f>
        <v/>
      </c>
      <c r="J192" s="8">
        <f>Raw_Data!J192</f>
        <v/>
      </c>
      <c r="K192" s="8">
        <f>Raw_Data!K192</f>
        <v/>
      </c>
      <c r="L192" s="8">
        <f>Raw_Data!L192</f>
        <v/>
      </c>
      <c r="M192" s="7">
        <f>Raw_Data!M192</f>
        <v/>
      </c>
      <c r="N192" s="7">
        <f>Raw_Data!N192</f>
        <v/>
      </c>
      <c r="O192" s="7">
        <f>Raw_Data!O192</f>
        <v/>
      </c>
      <c r="P192" s="8">
        <f>Raw_Data!P192</f>
        <v/>
      </c>
      <c r="R192" s="9">
        <f>IFERROR(Cleaned_Data!M192/Cleaned_Data!K192,0)</f>
        <v/>
      </c>
    </row>
    <row r="193">
      <c r="A193" s="10">
        <f>Raw_Data!A193</f>
        <v/>
      </c>
      <c r="B193" s="11">
        <f>Raw_Data!B193</f>
        <v/>
      </c>
      <c r="C193" s="11">
        <f>Raw_Data!C193</f>
        <v/>
      </c>
      <c r="D193" s="10">
        <f>Raw_Data!D193</f>
        <v/>
      </c>
      <c r="E193" s="10">
        <f>Raw_Data!E193</f>
        <v/>
      </c>
      <c r="F193" s="11">
        <f>Raw_Data!F193</f>
        <v/>
      </c>
      <c r="G193" s="11">
        <f>Raw_Data!G193</f>
        <v/>
      </c>
      <c r="H193" s="10">
        <f>Raw_Data!H193</f>
        <v/>
      </c>
      <c r="I193" s="10">
        <f>Raw_Data!I193</f>
        <v/>
      </c>
      <c r="J193" s="11">
        <f>Raw_Data!J193</f>
        <v/>
      </c>
      <c r="K193" s="11">
        <f>Raw_Data!K193</f>
        <v/>
      </c>
      <c r="L193" s="11">
        <f>Raw_Data!L193</f>
        <v/>
      </c>
      <c r="M193" s="10">
        <f>Raw_Data!M193</f>
        <v/>
      </c>
      <c r="N193" s="10">
        <f>Raw_Data!N193</f>
        <v/>
      </c>
      <c r="O193" s="10">
        <f>Raw_Data!O193</f>
        <v/>
      </c>
      <c r="P193" s="11">
        <f>Raw_Data!P193</f>
        <v/>
      </c>
      <c r="R193" s="9">
        <f>IFERROR(Cleaned_Data!M193/Cleaned_Data!K193,0)</f>
        <v/>
      </c>
    </row>
    <row r="194">
      <c r="A194" s="7">
        <f>Raw_Data!A194</f>
        <v/>
      </c>
      <c r="B194" s="8">
        <f>Raw_Data!B194</f>
        <v/>
      </c>
      <c r="C194" s="8">
        <f>Raw_Data!C194</f>
        <v/>
      </c>
      <c r="D194" s="7">
        <f>Raw_Data!D194</f>
        <v/>
      </c>
      <c r="E194" s="7">
        <f>Raw_Data!E194</f>
        <v/>
      </c>
      <c r="F194" s="8">
        <f>Raw_Data!F194</f>
        <v/>
      </c>
      <c r="G194" s="8">
        <f>Raw_Data!G194</f>
        <v/>
      </c>
      <c r="H194" s="7">
        <f>Raw_Data!H194</f>
        <v/>
      </c>
      <c r="I194" s="7">
        <f>Raw_Data!I194</f>
        <v/>
      </c>
      <c r="J194" s="8">
        <f>Raw_Data!J194</f>
        <v/>
      </c>
      <c r="K194" s="8">
        <f>Raw_Data!K194</f>
        <v/>
      </c>
      <c r="L194" s="8">
        <f>Raw_Data!L194</f>
        <v/>
      </c>
      <c r="M194" s="7">
        <f>Raw_Data!M194</f>
        <v/>
      </c>
      <c r="N194" s="7">
        <f>Raw_Data!N194</f>
        <v/>
      </c>
      <c r="O194" s="7">
        <f>Raw_Data!O194</f>
        <v/>
      </c>
      <c r="P194" s="8">
        <f>Raw_Data!P194</f>
        <v/>
      </c>
      <c r="R194" s="9">
        <f>IFERROR(Cleaned_Data!M194/Cleaned_Data!K194,0)</f>
        <v/>
      </c>
    </row>
    <row r="195">
      <c r="A195" s="10">
        <f>Raw_Data!A195</f>
        <v/>
      </c>
      <c r="B195" s="11">
        <f>Raw_Data!B195</f>
        <v/>
      </c>
      <c r="C195" s="11">
        <f>Raw_Data!C195</f>
        <v/>
      </c>
      <c r="D195" s="10">
        <f>Raw_Data!D195</f>
        <v/>
      </c>
      <c r="E195" s="10">
        <f>Raw_Data!E195</f>
        <v/>
      </c>
      <c r="F195" s="11">
        <f>Raw_Data!F195</f>
        <v/>
      </c>
      <c r="G195" s="11">
        <f>Raw_Data!G195</f>
        <v/>
      </c>
      <c r="H195" s="10">
        <f>Raw_Data!H195</f>
        <v/>
      </c>
      <c r="I195" s="10">
        <f>Raw_Data!I195</f>
        <v/>
      </c>
      <c r="J195" s="11">
        <f>Raw_Data!J195</f>
        <v/>
      </c>
      <c r="K195" s="11">
        <f>Raw_Data!K195</f>
        <v/>
      </c>
      <c r="L195" s="11">
        <f>Raw_Data!L195</f>
        <v/>
      </c>
      <c r="M195" s="10">
        <f>Raw_Data!M195</f>
        <v/>
      </c>
      <c r="N195" s="10">
        <f>Raw_Data!N195</f>
        <v/>
      </c>
      <c r="O195" s="10">
        <f>Raw_Data!O195</f>
        <v/>
      </c>
      <c r="P195" s="11">
        <f>Raw_Data!P195</f>
        <v/>
      </c>
      <c r="R195" s="9">
        <f>IFERROR(Cleaned_Data!M195/Cleaned_Data!K195,0)</f>
        <v/>
      </c>
    </row>
    <row r="196">
      <c r="A196" s="7">
        <f>Raw_Data!A196</f>
        <v/>
      </c>
      <c r="B196" s="8">
        <f>Raw_Data!B196</f>
        <v/>
      </c>
      <c r="C196" s="8">
        <f>Raw_Data!C196</f>
        <v/>
      </c>
      <c r="D196" s="7">
        <f>Raw_Data!D196</f>
        <v/>
      </c>
      <c r="E196" s="7">
        <f>Raw_Data!E196</f>
        <v/>
      </c>
      <c r="F196" s="8">
        <f>Raw_Data!F196</f>
        <v/>
      </c>
      <c r="G196" s="8">
        <f>Raw_Data!G196</f>
        <v/>
      </c>
      <c r="H196" s="7">
        <f>Raw_Data!H196</f>
        <v/>
      </c>
      <c r="I196" s="7">
        <f>Raw_Data!I196</f>
        <v/>
      </c>
      <c r="J196" s="8">
        <f>Raw_Data!J196</f>
        <v/>
      </c>
      <c r="K196" s="8">
        <f>Raw_Data!K196</f>
        <v/>
      </c>
      <c r="L196" s="8">
        <f>Raw_Data!L196</f>
        <v/>
      </c>
      <c r="M196" s="7">
        <f>Raw_Data!M196</f>
        <v/>
      </c>
      <c r="N196" s="7">
        <f>Raw_Data!N196</f>
        <v/>
      </c>
      <c r="O196" s="7">
        <f>Raw_Data!O196</f>
        <v/>
      </c>
      <c r="P196" s="8">
        <f>Raw_Data!P196</f>
        <v/>
      </c>
      <c r="R196" s="9">
        <f>IFERROR(Cleaned_Data!M196/Cleaned_Data!K196,0)</f>
        <v/>
      </c>
    </row>
    <row r="197">
      <c r="A197" s="10">
        <f>Raw_Data!A197</f>
        <v/>
      </c>
      <c r="B197" s="11">
        <f>Raw_Data!B197</f>
        <v/>
      </c>
      <c r="C197" s="11">
        <f>Raw_Data!C197</f>
        <v/>
      </c>
      <c r="D197" s="10">
        <f>Raw_Data!D197</f>
        <v/>
      </c>
      <c r="E197" s="10">
        <f>Raw_Data!E197</f>
        <v/>
      </c>
      <c r="F197" s="11">
        <f>Raw_Data!F197</f>
        <v/>
      </c>
      <c r="G197" s="11">
        <f>Raw_Data!G197</f>
        <v/>
      </c>
      <c r="H197" s="10">
        <f>Raw_Data!H197</f>
        <v/>
      </c>
      <c r="I197" s="10">
        <f>Raw_Data!I197</f>
        <v/>
      </c>
      <c r="J197" s="11">
        <f>Raw_Data!J197</f>
        <v/>
      </c>
      <c r="K197" s="11">
        <f>Raw_Data!K197</f>
        <v/>
      </c>
      <c r="L197" s="11">
        <f>Raw_Data!L197</f>
        <v/>
      </c>
      <c r="M197" s="10">
        <f>Raw_Data!M197</f>
        <v/>
      </c>
      <c r="N197" s="10">
        <f>Raw_Data!N197</f>
        <v/>
      </c>
      <c r="O197" s="10">
        <f>Raw_Data!O197</f>
        <v/>
      </c>
      <c r="P197" s="11">
        <f>Raw_Data!P197</f>
        <v/>
      </c>
      <c r="R197" s="9">
        <f>IFERROR(Cleaned_Data!M197/Cleaned_Data!K197,0)</f>
        <v/>
      </c>
    </row>
    <row r="198">
      <c r="A198" s="7">
        <f>Raw_Data!A198</f>
        <v/>
      </c>
      <c r="B198" s="8">
        <f>Raw_Data!B198</f>
        <v/>
      </c>
      <c r="C198" s="8">
        <f>Raw_Data!C198</f>
        <v/>
      </c>
      <c r="D198" s="7">
        <f>Raw_Data!D198</f>
        <v/>
      </c>
      <c r="E198" s="7">
        <f>Raw_Data!E198</f>
        <v/>
      </c>
      <c r="F198" s="8">
        <f>Raw_Data!F198</f>
        <v/>
      </c>
      <c r="G198" s="8">
        <f>Raw_Data!G198</f>
        <v/>
      </c>
      <c r="H198" s="7">
        <f>Raw_Data!H198</f>
        <v/>
      </c>
      <c r="I198" s="7">
        <f>Raw_Data!I198</f>
        <v/>
      </c>
      <c r="J198" s="8">
        <f>Raw_Data!J198</f>
        <v/>
      </c>
      <c r="K198" s="8">
        <f>Raw_Data!K198</f>
        <v/>
      </c>
      <c r="L198" s="8">
        <f>Raw_Data!L198</f>
        <v/>
      </c>
      <c r="M198" s="7">
        <f>Raw_Data!M198</f>
        <v/>
      </c>
      <c r="N198" s="7">
        <f>Raw_Data!N198</f>
        <v/>
      </c>
      <c r="O198" s="7">
        <f>Raw_Data!O198</f>
        <v/>
      </c>
      <c r="P198" s="8">
        <f>Raw_Data!P198</f>
        <v/>
      </c>
      <c r="R198" s="9">
        <f>IFERROR(Cleaned_Data!M198/Cleaned_Data!K198,0)</f>
        <v/>
      </c>
    </row>
    <row r="199">
      <c r="A199" s="10">
        <f>Raw_Data!A199</f>
        <v/>
      </c>
      <c r="B199" s="11">
        <f>Raw_Data!B199</f>
        <v/>
      </c>
      <c r="C199" s="11">
        <f>Raw_Data!C199</f>
        <v/>
      </c>
      <c r="D199" s="10">
        <f>Raw_Data!D199</f>
        <v/>
      </c>
      <c r="E199" s="10">
        <f>Raw_Data!E199</f>
        <v/>
      </c>
      <c r="F199" s="11">
        <f>Raw_Data!F199</f>
        <v/>
      </c>
      <c r="G199" s="11">
        <f>Raw_Data!G199</f>
        <v/>
      </c>
      <c r="H199" s="10">
        <f>Raw_Data!H199</f>
        <v/>
      </c>
      <c r="I199" s="10">
        <f>Raw_Data!I199</f>
        <v/>
      </c>
      <c r="J199" s="11">
        <f>Raw_Data!J199</f>
        <v/>
      </c>
      <c r="K199" s="11">
        <f>Raw_Data!K199</f>
        <v/>
      </c>
      <c r="L199" s="11">
        <f>Raw_Data!L199</f>
        <v/>
      </c>
      <c r="M199" s="10">
        <f>Raw_Data!M199</f>
        <v/>
      </c>
      <c r="N199" s="10">
        <f>Raw_Data!N199</f>
        <v/>
      </c>
      <c r="O199" s="10">
        <f>Raw_Data!O199</f>
        <v/>
      </c>
      <c r="P199" s="11">
        <f>Raw_Data!P199</f>
        <v/>
      </c>
      <c r="R199" s="9">
        <f>IFERROR(Cleaned_Data!M199/Cleaned_Data!K199,0)</f>
        <v/>
      </c>
    </row>
    <row r="200">
      <c r="A200" s="7">
        <f>Raw_Data!A200</f>
        <v/>
      </c>
      <c r="B200" s="8">
        <f>Raw_Data!B200</f>
        <v/>
      </c>
      <c r="C200" s="8">
        <f>Raw_Data!C200</f>
        <v/>
      </c>
      <c r="D200" s="7">
        <f>Raw_Data!D200</f>
        <v/>
      </c>
      <c r="E200" s="7">
        <f>Raw_Data!E200</f>
        <v/>
      </c>
      <c r="F200" s="8">
        <f>Raw_Data!F200</f>
        <v/>
      </c>
      <c r="G200" s="8">
        <f>Raw_Data!G200</f>
        <v/>
      </c>
      <c r="H200" s="7">
        <f>Raw_Data!H200</f>
        <v/>
      </c>
      <c r="I200" s="7">
        <f>Raw_Data!I200</f>
        <v/>
      </c>
      <c r="J200" s="8">
        <f>Raw_Data!J200</f>
        <v/>
      </c>
      <c r="K200" s="8">
        <f>Raw_Data!K200</f>
        <v/>
      </c>
      <c r="L200" s="8">
        <f>Raw_Data!L200</f>
        <v/>
      </c>
      <c r="M200" s="7">
        <f>Raw_Data!M200</f>
        <v/>
      </c>
      <c r="N200" s="7">
        <f>Raw_Data!N200</f>
        <v/>
      </c>
      <c r="O200" s="7">
        <f>Raw_Data!O200</f>
        <v/>
      </c>
      <c r="P200" s="8">
        <f>Raw_Data!P200</f>
        <v/>
      </c>
      <c r="R200" s="9">
        <f>IFERROR(Cleaned_Data!M200/Cleaned_Data!K200,0)</f>
        <v/>
      </c>
    </row>
    <row r="201">
      <c r="A201" s="10">
        <f>Raw_Data!A201</f>
        <v/>
      </c>
      <c r="B201" s="11">
        <f>Raw_Data!B201</f>
        <v/>
      </c>
      <c r="C201" s="11">
        <f>Raw_Data!C201</f>
        <v/>
      </c>
      <c r="D201" s="10">
        <f>Raw_Data!D201</f>
        <v/>
      </c>
      <c r="E201" s="10">
        <f>Raw_Data!E201</f>
        <v/>
      </c>
      <c r="F201" s="11">
        <f>Raw_Data!F201</f>
        <v/>
      </c>
      <c r="G201" s="11">
        <f>Raw_Data!G201</f>
        <v/>
      </c>
      <c r="H201" s="10">
        <f>Raw_Data!H201</f>
        <v/>
      </c>
      <c r="I201" s="10">
        <f>Raw_Data!I201</f>
        <v/>
      </c>
      <c r="J201" s="11">
        <f>Raw_Data!J201</f>
        <v/>
      </c>
      <c r="K201" s="11">
        <f>Raw_Data!K201</f>
        <v/>
      </c>
      <c r="L201" s="11">
        <f>Raw_Data!L201</f>
        <v/>
      </c>
      <c r="M201" s="10">
        <f>Raw_Data!M201</f>
        <v/>
      </c>
      <c r="N201" s="10">
        <f>Raw_Data!N201</f>
        <v/>
      </c>
      <c r="O201" s="10">
        <f>Raw_Data!O201</f>
        <v/>
      </c>
      <c r="P201" s="11">
        <f>Raw_Data!P201</f>
        <v/>
      </c>
      <c r="R201" s="9">
        <f>IFERROR(Cleaned_Data!M201/Cleaned_Data!K201,0)</f>
        <v/>
      </c>
    </row>
    <row r="202">
      <c r="A202" s="7">
        <f>Raw_Data!A202</f>
        <v/>
      </c>
      <c r="B202" s="8">
        <f>Raw_Data!B202</f>
        <v/>
      </c>
      <c r="C202" s="8">
        <f>Raw_Data!C202</f>
        <v/>
      </c>
      <c r="D202" s="7">
        <f>Raw_Data!D202</f>
        <v/>
      </c>
      <c r="E202" s="7">
        <f>Raw_Data!E202</f>
        <v/>
      </c>
      <c r="F202" s="8">
        <f>Raw_Data!F202</f>
        <v/>
      </c>
      <c r="G202" s="8">
        <f>Raw_Data!G202</f>
        <v/>
      </c>
      <c r="H202" s="7">
        <f>Raw_Data!H202</f>
        <v/>
      </c>
      <c r="I202" s="7">
        <f>Raw_Data!I202</f>
        <v/>
      </c>
      <c r="J202" s="8">
        <f>Raw_Data!J202</f>
        <v/>
      </c>
      <c r="K202" s="8">
        <f>Raw_Data!K202</f>
        <v/>
      </c>
      <c r="L202" s="8">
        <f>Raw_Data!L202</f>
        <v/>
      </c>
      <c r="M202" s="7">
        <f>Raw_Data!M202</f>
        <v/>
      </c>
      <c r="N202" s="7">
        <f>Raw_Data!N202</f>
        <v/>
      </c>
      <c r="O202" s="7">
        <f>Raw_Data!O202</f>
        <v/>
      </c>
      <c r="P202" s="8">
        <f>Raw_Data!P202</f>
        <v/>
      </c>
      <c r="R202" s="9">
        <f>IFERROR(Cleaned_Data!M202/Cleaned_Data!K202,0)</f>
        <v/>
      </c>
    </row>
    <row r="203">
      <c r="A203" s="10">
        <f>Raw_Data!A203</f>
        <v/>
      </c>
      <c r="B203" s="11">
        <f>Raw_Data!B203</f>
        <v/>
      </c>
      <c r="C203" s="11">
        <f>Raw_Data!C203</f>
        <v/>
      </c>
      <c r="D203" s="10">
        <f>Raw_Data!D203</f>
        <v/>
      </c>
      <c r="E203" s="10">
        <f>Raw_Data!E203</f>
        <v/>
      </c>
      <c r="F203" s="11">
        <f>Raw_Data!F203</f>
        <v/>
      </c>
      <c r="G203" s="11">
        <f>Raw_Data!G203</f>
        <v/>
      </c>
      <c r="H203" s="10">
        <f>Raw_Data!H203</f>
        <v/>
      </c>
      <c r="I203" s="10">
        <f>Raw_Data!I203</f>
        <v/>
      </c>
      <c r="J203" s="11">
        <f>Raw_Data!J203</f>
        <v/>
      </c>
      <c r="K203" s="11">
        <f>Raw_Data!K203</f>
        <v/>
      </c>
      <c r="L203" s="11">
        <f>Raw_Data!L203</f>
        <v/>
      </c>
      <c r="M203" s="10">
        <f>Raw_Data!M203</f>
        <v/>
      </c>
      <c r="N203" s="10">
        <f>Raw_Data!N203</f>
        <v/>
      </c>
      <c r="O203" s="10">
        <f>Raw_Data!O203</f>
        <v/>
      </c>
      <c r="P203" s="11">
        <f>Raw_Data!P203</f>
        <v/>
      </c>
      <c r="R203" s="9">
        <f>IFERROR(Cleaned_Data!M203/Cleaned_Data!K203,0)</f>
        <v/>
      </c>
    </row>
    <row r="204">
      <c r="A204" s="7">
        <f>Raw_Data!A204</f>
        <v/>
      </c>
      <c r="B204" s="8">
        <f>Raw_Data!B204</f>
        <v/>
      </c>
      <c r="C204" s="8">
        <f>Raw_Data!C204</f>
        <v/>
      </c>
      <c r="D204" s="7">
        <f>Raw_Data!D204</f>
        <v/>
      </c>
      <c r="E204" s="7">
        <f>Raw_Data!E204</f>
        <v/>
      </c>
      <c r="F204" s="8">
        <f>Raw_Data!F204</f>
        <v/>
      </c>
      <c r="G204" s="8">
        <f>Raw_Data!G204</f>
        <v/>
      </c>
      <c r="H204" s="7">
        <f>Raw_Data!H204</f>
        <v/>
      </c>
      <c r="I204" s="7">
        <f>Raw_Data!I204</f>
        <v/>
      </c>
      <c r="J204" s="8">
        <f>Raw_Data!J204</f>
        <v/>
      </c>
      <c r="K204" s="8">
        <f>Raw_Data!K204</f>
        <v/>
      </c>
      <c r="L204" s="8">
        <f>Raw_Data!L204</f>
        <v/>
      </c>
      <c r="M204" s="7">
        <f>Raw_Data!M204</f>
        <v/>
      </c>
      <c r="N204" s="7">
        <f>Raw_Data!N204</f>
        <v/>
      </c>
      <c r="O204" s="7">
        <f>Raw_Data!O204</f>
        <v/>
      </c>
      <c r="P204" s="8">
        <f>Raw_Data!P204</f>
        <v/>
      </c>
      <c r="R204" s="9">
        <f>IFERROR(Cleaned_Data!M204/Cleaned_Data!K204,0)</f>
        <v/>
      </c>
    </row>
    <row r="205">
      <c r="A205" s="10">
        <f>Raw_Data!A205</f>
        <v/>
      </c>
      <c r="B205" s="11">
        <f>Raw_Data!B205</f>
        <v/>
      </c>
      <c r="C205" s="11">
        <f>Raw_Data!C205</f>
        <v/>
      </c>
      <c r="D205" s="10">
        <f>Raw_Data!D205</f>
        <v/>
      </c>
      <c r="E205" s="10">
        <f>Raw_Data!E205</f>
        <v/>
      </c>
      <c r="F205" s="11">
        <f>Raw_Data!F205</f>
        <v/>
      </c>
      <c r="G205" s="11">
        <f>Raw_Data!G205</f>
        <v/>
      </c>
      <c r="H205" s="10">
        <f>Raw_Data!H205</f>
        <v/>
      </c>
      <c r="I205" s="10">
        <f>Raw_Data!I205</f>
        <v/>
      </c>
      <c r="J205" s="11">
        <f>Raw_Data!J205</f>
        <v/>
      </c>
      <c r="K205" s="11">
        <f>Raw_Data!K205</f>
        <v/>
      </c>
      <c r="L205" s="11">
        <f>Raw_Data!L205</f>
        <v/>
      </c>
      <c r="M205" s="10">
        <f>Raw_Data!M205</f>
        <v/>
      </c>
      <c r="N205" s="10">
        <f>Raw_Data!N205</f>
        <v/>
      </c>
      <c r="O205" s="10">
        <f>Raw_Data!O205</f>
        <v/>
      </c>
      <c r="P205" s="11">
        <f>Raw_Data!P205</f>
        <v/>
      </c>
      <c r="R205" s="9">
        <f>IFERROR(Cleaned_Data!M205/Cleaned_Data!K205,0)</f>
        <v/>
      </c>
    </row>
    <row r="206">
      <c r="A206" s="7">
        <f>Raw_Data!A206</f>
        <v/>
      </c>
      <c r="B206" s="8">
        <f>Raw_Data!B206</f>
        <v/>
      </c>
      <c r="C206" s="8">
        <f>Raw_Data!C206</f>
        <v/>
      </c>
      <c r="D206" s="7">
        <f>Raw_Data!D206</f>
        <v/>
      </c>
      <c r="E206" s="7">
        <f>Raw_Data!E206</f>
        <v/>
      </c>
      <c r="F206" s="8">
        <f>Raw_Data!F206</f>
        <v/>
      </c>
      <c r="G206" s="8">
        <f>Raw_Data!G206</f>
        <v/>
      </c>
      <c r="H206" s="7">
        <f>Raw_Data!H206</f>
        <v/>
      </c>
      <c r="I206" s="7">
        <f>Raw_Data!I206</f>
        <v/>
      </c>
      <c r="J206" s="8">
        <f>Raw_Data!J206</f>
        <v/>
      </c>
      <c r="K206" s="8">
        <f>Raw_Data!K206</f>
        <v/>
      </c>
      <c r="L206" s="8">
        <f>Raw_Data!L206</f>
        <v/>
      </c>
      <c r="M206" s="7">
        <f>Raw_Data!M206</f>
        <v/>
      </c>
      <c r="N206" s="7">
        <f>Raw_Data!N206</f>
        <v/>
      </c>
      <c r="O206" s="7">
        <f>Raw_Data!O206</f>
        <v/>
      </c>
      <c r="P206" s="8">
        <f>Raw_Data!P206</f>
        <v/>
      </c>
      <c r="R206" s="9">
        <f>IFERROR(Cleaned_Data!M206/Cleaned_Data!K206,0)</f>
        <v/>
      </c>
    </row>
    <row r="207">
      <c r="A207" s="10">
        <f>Raw_Data!A207</f>
        <v/>
      </c>
      <c r="B207" s="11">
        <f>Raw_Data!B207</f>
        <v/>
      </c>
      <c r="C207" s="11">
        <f>Raw_Data!C207</f>
        <v/>
      </c>
      <c r="D207" s="10">
        <f>Raw_Data!D207</f>
        <v/>
      </c>
      <c r="E207" s="10">
        <f>Raw_Data!E207</f>
        <v/>
      </c>
      <c r="F207" s="11">
        <f>Raw_Data!F207</f>
        <v/>
      </c>
      <c r="G207" s="11">
        <f>Raw_Data!G207</f>
        <v/>
      </c>
      <c r="H207" s="10">
        <f>Raw_Data!H207</f>
        <v/>
      </c>
      <c r="I207" s="10">
        <f>Raw_Data!I207</f>
        <v/>
      </c>
      <c r="J207" s="11">
        <f>Raw_Data!J207</f>
        <v/>
      </c>
      <c r="K207" s="11">
        <f>Raw_Data!K207</f>
        <v/>
      </c>
      <c r="L207" s="11">
        <f>Raw_Data!L207</f>
        <v/>
      </c>
      <c r="M207" s="10">
        <f>Raw_Data!M207</f>
        <v/>
      </c>
      <c r="N207" s="10">
        <f>Raw_Data!N207</f>
        <v/>
      </c>
      <c r="O207" s="10">
        <f>Raw_Data!O207</f>
        <v/>
      </c>
      <c r="P207" s="11">
        <f>Raw_Data!P207</f>
        <v/>
      </c>
      <c r="R207" s="9">
        <f>IFERROR(Cleaned_Data!M207/Cleaned_Data!K207,0)</f>
        <v/>
      </c>
    </row>
    <row r="208">
      <c r="A208" s="7">
        <f>Raw_Data!A208</f>
        <v/>
      </c>
      <c r="B208" s="8">
        <f>Raw_Data!B208</f>
        <v/>
      </c>
      <c r="C208" s="8">
        <f>Raw_Data!C208</f>
        <v/>
      </c>
      <c r="D208" s="7">
        <f>Raw_Data!D208</f>
        <v/>
      </c>
      <c r="E208" s="7">
        <f>Raw_Data!E208</f>
        <v/>
      </c>
      <c r="F208" s="8">
        <f>Raw_Data!F208</f>
        <v/>
      </c>
      <c r="G208" s="8">
        <f>Raw_Data!G208</f>
        <v/>
      </c>
      <c r="H208" s="7">
        <f>Raw_Data!H208</f>
        <v/>
      </c>
      <c r="I208" s="7">
        <f>Raw_Data!I208</f>
        <v/>
      </c>
      <c r="J208" s="8">
        <f>Raw_Data!J208</f>
        <v/>
      </c>
      <c r="K208" s="8">
        <f>Raw_Data!K208</f>
        <v/>
      </c>
      <c r="L208" s="8">
        <f>Raw_Data!L208</f>
        <v/>
      </c>
      <c r="M208" s="7">
        <f>Raw_Data!M208</f>
        <v/>
      </c>
      <c r="N208" s="7">
        <f>Raw_Data!N208</f>
        <v/>
      </c>
      <c r="O208" s="7">
        <f>Raw_Data!O208</f>
        <v/>
      </c>
      <c r="P208" s="8">
        <f>Raw_Data!P208</f>
        <v/>
      </c>
      <c r="R208" s="9">
        <f>IFERROR(Cleaned_Data!M208/Cleaned_Data!K208,0)</f>
        <v/>
      </c>
    </row>
    <row r="209">
      <c r="A209" s="10">
        <f>Raw_Data!A209</f>
        <v/>
      </c>
      <c r="B209" s="11">
        <f>Raw_Data!B209</f>
        <v/>
      </c>
      <c r="C209" s="11">
        <f>Raw_Data!C209</f>
        <v/>
      </c>
      <c r="D209" s="10">
        <f>Raw_Data!D209</f>
        <v/>
      </c>
      <c r="E209" s="10">
        <f>Raw_Data!E209</f>
        <v/>
      </c>
      <c r="F209" s="11">
        <f>Raw_Data!F209</f>
        <v/>
      </c>
      <c r="G209" s="11">
        <f>Raw_Data!G209</f>
        <v/>
      </c>
      <c r="H209" s="10">
        <f>Raw_Data!H209</f>
        <v/>
      </c>
      <c r="I209" s="10">
        <f>Raw_Data!I209</f>
        <v/>
      </c>
      <c r="J209" s="11">
        <f>Raw_Data!J209</f>
        <v/>
      </c>
      <c r="K209" s="11">
        <f>Raw_Data!K209</f>
        <v/>
      </c>
      <c r="L209" s="11">
        <f>Raw_Data!L209</f>
        <v/>
      </c>
      <c r="M209" s="10">
        <f>Raw_Data!M209</f>
        <v/>
      </c>
      <c r="N209" s="10">
        <f>Raw_Data!N209</f>
        <v/>
      </c>
      <c r="O209" s="10">
        <f>Raw_Data!O209</f>
        <v/>
      </c>
      <c r="P209" s="11">
        <f>Raw_Data!P209</f>
        <v/>
      </c>
      <c r="R209" s="9">
        <f>IFERROR(Cleaned_Data!M209/Cleaned_Data!K209,0)</f>
        <v/>
      </c>
    </row>
    <row r="210">
      <c r="A210" s="7">
        <f>Raw_Data!A210</f>
        <v/>
      </c>
      <c r="B210" s="8">
        <f>Raw_Data!B210</f>
        <v/>
      </c>
      <c r="C210" s="8">
        <f>Raw_Data!C210</f>
        <v/>
      </c>
      <c r="D210" s="7">
        <f>Raw_Data!D210</f>
        <v/>
      </c>
      <c r="E210" s="7">
        <f>Raw_Data!E210</f>
        <v/>
      </c>
      <c r="F210" s="8">
        <f>Raw_Data!F210</f>
        <v/>
      </c>
      <c r="G210" s="8">
        <f>Raw_Data!G210</f>
        <v/>
      </c>
      <c r="H210" s="7">
        <f>Raw_Data!H210</f>
        <v/>
      </c>
      <c r="I210" s="7">
        <f>Raw_Data!I210</f>
        <v/>
      </c>
      <c r="J210" s="8">
        <f>Raw_Data!J210</f>
        <v/>
      </c>
      <c r="K210" s="8">
        <f>Raw_Data!K210</f>
        <v/>
      </c>
      <c r="L210" s="8">
        <f>Raw_Data!L210</f>
        <v/>
      </c>
      <c r="M210" s="7">
        <f>Raw_Data!M210</f>
        <v/>
      </c>
      <c r="N210" s="7">
        <f>Raw_Data!N210</f>
        <v/>
      </c>
      <c r="O210" s="7">
        <f>Raw_Data!O210</f>
        <v/>
      </c>
      <c r="P210" s="8">
        <f>Raw_Data!P210</f>
        <v/>
      </c>
      <c r="R210" s="9">
        <f>IFERROR(Cleaned_Data!M210/Cleaned_Data!K210,0)</f>
        <v/>
      </c>
    </row>
    <row r="211">
      <c r="A211" s="10">
        <f>Raw_Data!A211</f>
        <v/>
      </c>
      <c r="B211" s="11">
        <f>Raw_Data!B211</f>
        <v/>
      </c>
      <c r="C211" s="11">
        <f>Raw_Data!C211</f>
        <v/>
      </c>
      <c r="D211" s="10">
        <f>Raw_Data!D211</f>
        <v/>
      </c>
      <c r="E211" s="10">
        <f>Raw_Data!E211</f>
        <v/>
      </c>
      <c r="F211" s="11">
        <f>Raw_Data!F211</f>
        <v/>
      </c>
      <c r="G211" s="11">
        <f>Raw_Data!G211</f>
        <v/>
      </c>
      <c r="H211" s="10">
        <f>Raw_Data!H211</f>
        <v/>
      </c>
      <c r="I211" s="10">
        <f>Raw_Data!I211</f>
        <v/>
      </c>
      <c r="J211" s="11">
        <f>Raw_Data!J211</f>
        <v/>
      </c>
      <c r="K211" s="11">
        <f>Raw_Data!K211</f>
        <v/>
      </c>
      <c r="L211" s="11">
        <f>Raw_Data!L211</f>
        <v/>
      </c>
      <c r="M211" s="10">
        <f>Raw_Data!M211</f>
        <v/>
      </c>
      <c r="N211" s="10">
        <f>Raw_Data!N211</f>
        <v/>
      </c>
      <c r="O211" s="10">
        <f>Raw_Data!O211</f>
        <v/>
      </c>
      <c r="P211" s="11">
        <f>Raw_Data!P211</f>
        <v/>
      </c>
      <c r="R211" s="9">
        <f>IFERROR(Cleaned_Data!M211/Cleaned_Data!K211,0)</f>
        <v/>
      </c>
    </row>
    <row r="212">
      <c r="A212" s="7">
        <f>Raw_Data!A212</f>
        <v/>
      </c>
      <c r="B212" s="8">
        <f>Raw_Data!B212</f>
        <v/>
      </c>
      <c r="C212" s="8">
        <f>Raw_Data!C212</f>
        <v/>
      </c>
      <c r="D212" s="7">
        <f>Raw_Data!D212</f>
        <v/>
      </c>
      <c r="E212" s="7">
        <f>Raw_Data!E212</f>
        <v/>
      </c>
      <c r="F212" s="8">
        <f>Raw_Data!F212</f>
        <v/>
      </c>
      <c r="G212" s="8">
        <f>Raw_Data!G212</f>
        <v/>
      </c>
      <c r="H212" s="7">
        <f>Raw_Data!H212</f>
        <v/>
      </c>
      <c r="I212" s="7">
        <f>Raw_Data!I212</f>
        <v/>
      </c>
      <c r="J212" s="8">
        <f>Raw_Data!J212</f>
        <v/>
      </c>
      <c r="K212" s="8">
        <f>Raw_Data!K212</f>
        <v/>
      </c>
      <c r="L212" s="8">
        <f>Raw_Data!L212</f>
        <v/>
      </c>
      <c r="M212" s="7">
        <f>Raw_Data!M212</f>
        <v/>
      </c>
      <c r="N212" s="7">
        <f>Raw_Data!N212</f>
        <v/>
      </c>
      <c r="O212" s="7">
        <f>Raw_Data!O212</f>
        <v/>
      </c>
      <c r="P212" s="8">
        <f>Raw_Data!P212</f>
        <v/>
      </c>
      <c r="R212" s="9">
        <f>IFERROR(Cleaned_Data!M212/Cleaned_Data!K212,0)</f>
        <v/>
      </c>
    </row>
    <row r="213">
      <c r="A213" s="10">
        <f>Raw_Data!A213</f>
        <v/>
      </c>
      <c r="B213" s="11">
        <f>Raw_Data!B213</f>
        <v/>
      </c>
      <c r="C213" s="11">
        <f>Raw_Data!C213</f>
        <v/>
      </c>
      <c r="D213" s="10">
        <f>Raw_Data!D213</f>
        <v/>
      </c>
      <c r="E213" s="10">
        <f>Raw_Data!E213</f>
        <v/>
      </c>
      <c r="F213" s="11">
        <f>Raw_Data!F213</f>
        <v/>
      </c>
      <c r="G213" s="11">
        <f>Raw_Data!G213</f>
        <v/>
      </c>
      <c r="H213" s="10">
        <f>Raw_Data!H213</f>
        <v/>
      </c>
      <c r="I213" s="10">
        <f>Raw_Data!I213</f>
        <v/>
      </c>
      <c r="J213" s="11">
        <f>Raw_Data!J213</f>
        <v/>
      </c>
      <c r="K213" s="11">
        <f>Raw_Data!K213</f>
        <v/>
      </c>
      <c r="L213" s="11">
        <f>Raw_Data!L213</f>
        <v/>
      </c>
      <c r="M213" s="10">
        <f>Raw_Data!M213</f>
        <v/>
      </c>
      <c r="N213" s="10">
        <f>Raw_Data!N213</f>
        <v/>
      </c>
      <c r="O213" s="10">
        <f>Raw_Data!O213</f>
        <v/>
      </c>
      <c r="P213" s="11">
        <f>Raw_Data!P213</f>
        <v/>
      </c>
      <c r="R213" s="9">
        <f>IFERROR(Cleaned_Data!M213/Cleaned_Data!K213,0)</f>
        <v/>
      </c>
    </row>
    <row r="214">
      <c r="A214" s="7">
        <f>Raw_Data!A214</f>
        <v/>
      </c>
      <c r="B214" s="8">
        <f>Raw_Data!B214</f>
        <v/>
      </c>
      <c r="C214" s="8">
        <f>Raw_Data!C214</f>
        <v/>
      </c>
      <c r="D214" s="7">
        <f>Raw_Data!D214</f>
        <v/>
      </c>
      <c r="E214" s="7">
        <f>Raw_Data!E214</f>
        <v/>
      </c>
      <c r="F214" s="8">
        <f>Raw_Data!F214</f>
        <v/>
      </c>
      <c r="G214" s="8">
        <f>Raw_Data!G214</f>
        <v/>
      </c>
      <c r="H214" s="7">
        <f>Raw_Data!H214</f>
        <v/>
      </c>
      <c r="I214" s="7">
        <f>Raw_Data!I214</f>
        <v/>
      </c>
      <c r="J214" s="8">
        <f>Raw_Data!J214</f>
        <v/>
      </c>
      <c r="K214" s="8">
        <f>Raw_Data!K214</f>
        <v/>
      </c>
      <c r="L214" s="8">
        <f>Raw_Data!L214</f>
        <v/>
      </c>
      <c r="M214" s="7">
        <f>Raw_Data!M214</f>
        <v/>
      </c>
      <c r="N214" s="7">
        <f>Raw_Data!N214</f>
        <v/>
      </c>
      <c r="O214" s="7">
        <f>Raw_Data!O214</f>
        <v/>
      </c>
      <c r="P214" s="8">
        <f>Raw_Data!P214</f>
        <v/>
      </c>
      <c r="R214" s="9">
        <f>IFERROR(Cleaned_Data!M214/Cleaned_Data!K214,0)</f>
        <v/>
      </c>
    </row>
    <row r="215">
      <c r="A215" s="10">
        <f>Raw_Data!A215</f>
        <v/>
      </c>
      <c r="B215" s="11">
        <f>Raw_Data!B215</f>
        <v/>
      </c>
      <c r="C215" s="11">
        <f>Raw_Data!C215</f>
        <v/>
      </c>
      <c r="D215" s="10">
        <f>Raw_Data!D215</f>
        <v/>
      </c>
      <c r="E215" s="10">
        <f>Raw_Data!E215</f>
        <v/>
      </c>
      <c r="F215" s="11">
        <f>Raw_Data!F215</f>
        <v/>
      </c>
      <c r="G215" s="11">
        <f>Raw_Data!G215</f>
        <v/>
      </c>
      <c r="H215" s="10">
        <f>Raw_Data!H215</f>
        <v/>
      </c>
      <c r="I215" s="10">
        <f>Raw_Data!I215</f>
        <v/>
      </c>
      <c r="J215" s="11">
        <f>Raw_Data!J215</f>
        <v/>
      </c>
      <c r="K215" s="11">
        <f>Raw_Data!K215</f>
        <v/>
      </c>
      <c r="L215" s="11">
        <f>Raw_Data!L215</f>
        <v/>
      </c>
      <c r="M215" s="10">
        <f>Raw_Data!M215</f>
        <v/>
      </c>
      <c r="N215" s="10">
        <f>Raw_Data!N215</f>
        <v/>
      </c>
      <c r="O215" s="10">
        <f>Raw_Data!O215</f>
        <v/>
      </c>
      <c r="P215" s="11">
        <f>Raw_Data!P215</f>
        <v/>
      </c>
      <c r="R215" s="9">
        <f>IFERROR(Cleaned_Data!M215/Cleaned_Data!K215,0)</f>
        <v/>
      </c>
    </row>
    <row r="216">
      <c r="A216" s="7">
        <f>Raw_Data!A216</f>
        <v/>
      </c>
      <c r="B216" s="8">
        <f>Raw_Data!B216</f>
        <v/>
      </c>
      <c r="C216" s="8">
        <f>Raw_Data!C216</f>
        <v/>
      </c>
      <c r="D216" s="7">
        <f>Raw_Data!D216</f>
        <v/>
      </c>
      <c r="E216" s="7">
        <f>Raw_Data!E216</f>
        <v/>
      </c>
      <c r="F216" s="8">
        <f>Raw_Data!F216</f>
        <v/>
      </c>
      <c r="G216" s="8">
        <f>Raw_Data!G216</f>
        <v/>
      </c>
      <c r="H216" s="7">
        <f>Raw_Data!H216</f>
        <v/>
      </c>
      <c r="I216" s="7">
        <f>Raw_Data!I216</f>
        <v/>
      </c>
      <c r="J216" s="8">
        <f>Raw_Data!J216</f>
        <v/>
      </c>
      <c r="K216" s="8">
        <f>Raw_Data!K216</f>
        <v/>
      </c>
      <c r="L216" s="8">
        <f>Raw_Data!L216</f>
        <v/>
      </c>
      <c r="M216" s="7">
        <f>Raw_Data!M216</f>
        <v/>
      </c>
      <c r="N216" s="7">
        <f>Raw_Data!N216</f>
        <v/>
      </c>
      <c r="O216" s="7">
        <f>Raw_Data!O216</f>
        <v/>
      </c>
      <c r="P216" s="8">
        <f>Raw_Data!P216</f>
        <v/>
      </c>
      <c r="R216" s="9">
        <f>IFERROR(Cleaned_Data!M216/Cleaned_Data!K216,0)</f>
        <v/>
      </c>
    </row>
    <row r="217">
      <c r="A217" s="10">
        <f>Raw_Data!A217</f>
        <v/>
      </c>
      <c r="B217" s="11">
        <f>Raw_Data!B217</f>
        <v/>
      </c>
      <c r="C217" s="11">
        <f>Raw_Data!C217</f>
        <v/>
      </c>
      <c r="D217" s="10">
        <f>Raw_Data!D217</f>
        <v/>
      </c>
      <c r="E217" s="10">
        <f>Raw_Data!E217</f>
        <v/>
      </c>
      <c r="F217" s="11">
        <f>Raw_Data!F217</f>
        <v/>
      </c>
      <c r="G217" s="11">
        <f>Raw_Data!G217</f>
        <v/>
      </c>
      <c r="H217" s="10">
        <f>Raw_Data!H217</f>
        <v/>
      </c>
      <c r="I217" s="10">
        <f>Raw_Data!I217</f>
        <v/>
      </c>
      <c r="J217" s="11">
        <f>Raw_Data!J217</f>
        <v/>
      </c>
      <c r="K217" s="11">
        <f>Raw_Data!K217</f>
        <v/>
      </c>
      <c r="L217" s="11">
        <f>Raw_Data!L217</f>
        <v/>
      </c>
      <c r="M217" s="10">
        <f>Raw_Data!M217</f>
        <v/>
      </c>
      <c r="N217" s="10">
        <f>Raw_Data!N217</f>
        <v/>
      </c>
      <c r="O217" s="10">
        <f>Raw_Data!O217</f>
        <v/>
      </c>
      <c r="P217" s="11">
        <f>Raw_Data!P217</f>
        <v/>
      </c>
      <c r="R217" s="9">
        <f>IFERROR(Cleaned_Data!M217/Cleaned_Data!K217,0)</f>
        <v/>
      </c>
    </row>
    <row r="218">
      <c r="A218" s="7">
        <f>Raw_Data!A218</f>
        <v/>
      </c>
      <c r="B218" s="8">
        <f>Raw_Data!B218</f>
        <v/>
      </c>
      <c r="C218" s="8">
        <f>Raw_Data!C218</f>
        <v/>
      </c>
      <c r="D218" s="7">
        <f>Raw_Data!D218</f>
        <v/>
      </c>
      <c r="E218" s="7">
        <f>Raw_Data!E218</f>
        <v/>
      </c>
      <c r="F218" s="8">
        <f>Raw_Data!F218</f>
        <v/>
      </c>
      <c r="G218" s="8">
        <f>Raw_Data!G218</f>
        <v/>
      </c>
      <c r="H218" s="7">
        <f>Raw_Data!H218</f>
        <v/>
      </c>
      <c r="I218" s="7">
        <f>Raw_Data!I218</f>
        <v/>
      </c>
      <c r="J218" s="8">
        <f>Raw_Data!J218</f>
        <v/>
      </c>
      <c r="K218" s="8">
        <f>Raw_Data!K218</f>
        <v/>
      </c>
      <c r="L218" s="8">
        <f>Raw_Data!L218</f>
        <v/>
      </c>
      <c r="M218" s="7">
        <f>Raw_Data!M218</f>
        <v/>
      </c>
      <c r="N218" s="7">
        <f>Raw_Data!N218</f>
        <v/>
      </c>
      <c r="O218" s="7">
        <f>Raw_Data!O218</f>
        <v/>
      </c>
      <c r="P218" s="8">
        <f>Raw_Data!P218</f>
        <v/>
      </c>
      <c r="R218" s="9">
        <f>IFERROR(Cleaned_Data!M218/Cleaned_Data!K218,0)</f>
        <v/>
      </c>
    </row>
    <row r="219">
      <c r="A219" s="10">
        <f>Raw_Data!A219</f>
        <v/>
      </c>
      <c r="B219" s="11">
        <f>Raw_Data!B219</f>
        <v/>
      </c>
      <c r="C219" s="11">
        <f>Raw_Data!C219</f>
        <v/>
      </c>
      <c r="D219" s="10">
        <f>Raw_Data!D219</f>
        <v/>
      </c>
      <c r="E219" s="10">
        <f>Raw_Data!E219</f>
        <v/>
      </c>
      <c r="F219" s="11">
        <f>Raw_Data!F219</f>
        <v/>
      </c>
      <c r="G219" s="11">
        <f>Raw_Data!G219</f>
        <v/>
      </c>
      <c r="H219" s="10">
        <f>Raw_Data!H219</f>
        <v/>
      </c>
      <c r="I219" s="10">
        <f>Raw_Data!I219</f>
        <v/>
      </c>
      <c r="J219" s="11">
        <f>Raw_Data!J219</f>
        <v/>
      </c>
      <c r="K219" s="11">
        <f>Raw_Data!K219</f>
        <v/>
      </c>
      <c r="L219" s="11">
        <f>Raw_Data!L219</f>
        <v/>
      </c>
      <c r="M219" s="10">
        <f>Raw_Data!M219</f>
        <v/>
      </c>
      <c r="N219" s="10">
        <f>Raw_Data!N219</f>
        <v/>
      </c>
      <c r="O219" s="10">
        <f>Raw_Data!O219</f>
        <v/>
      </c>
      <c r="P219" s="11">
        <f>Raw_Data!P219</f>
        <v/>
      </c>
      <c r="R219" s="9">
        <f>IFERROR(Cleaned_Data!M219/Cleaned_Data!K219,0)</f>
        <v/>
      </c>
    </row>
    <row r="220">
      <c r="A220" s="7">
        <f>Raw_Data!A220</f>
        <v/>
      </c>
      <c r="B220" s="8">
        <f>Raw_Data!B220</f>
        <v/>
      </c>
      <c r="C220" s="8">
        <f>Raw_Data!C220</f>
        <v/>
      </c>
      <c r="D220" s="7">
        <f>Raw_Data!D220</f>
        <v/>
      </c>
      <c r="E220" s="7">
        <f>Raw_Data!E220</f>
        <v/>
      </c>
      <c r="F220" s="8">
        <f>Raw_Data!F220</f>
        <v/>
      </c>
      <c r="G220" s="8">
        <f>Raw_Data!G220</f>
        <v/>
      </c>
      <c r="H220" s="7">
        <f>Raw_Data!H220</f>
        <v/>
      </c>
      <c r="I220" s="7">
        <f>Raw_Data!I220</f>
        <v/>
      </c>
      <c r="J220" s="8">
        <f>Raw_Data!J220</f>
        <v/>
      </c>
      <c r="K220" s="8">
        <f>Raw_Data!K220</f>
        <v/>
      </c>
      <c r="L220" s="8">
        <f>Raw_Data!L220</f>
        <v/>
      </c>
      <c r="M220" s="7">
        <f>Raw_Data!M220</f>
        <v/>
      </c>
      <c r="N220" s="7">
        <f>Raw_Data!N220</f>
        <v/>
      </c>
      <c r="O220" s="7">
        <f>Raw_Data!O220</f>
        <v/>
      </c>
      <c r="P220" s="8">
        <f>Raw_Data!P220</f>
        <v/>
      </c>
      <c r="R220" s="9">
        <f>IFERROR(Cleaned_Data!M220/Cleaned_Data!K220,0)</f>
        <v/>
      </c>
    </row>
    <row r="221">
      <c r="A221" s="10">
        <f>Raw_Data!A221</f>
        <v/>
      </c>
      <c r="B221" s="11">
        <f>Raw_Data!B221</f>
        <v/>
      </c>
      <c r="C221" s="11">
        <f>Raw_Data!C221</f>
        <v/>
      </c>
      <c r="D221" s="10">
        <f>Raw_Data!D221</f>
        <v/>
      </c>
      <c r="E221" s="10">
        <f>Raw_Data!E221</f>
        <v/>
      </c>
      <c r="F221" s="11">
        <f>Raw_Data!F221</f>
        <v/>
      </c>
      <c r="G221" s="11">
        <f>Raw_Data!G221</f>
        <v/>
      </c>
      <c r="H221" s="10">
        <f>Raw_Data!H221</f>
        <v/>
      </c>
      <c r="I221" s="10">
        <f>Raw_Data!I221</f>
        <v/>
      </c>
      <c r="J221" s="11">
        <f>Raw_Data!J221</f>
        <v/>
      </c>
      <c r="K221" s="11">
        <f>Raw_Data!K221</f>
        <v/>
      </c>
      <c r="L221" s="11">
        <f>Raw_Data!L221</f>
        <v/>
      </c>
      <c r="M221" s="10">
        <f>Raw_Data!M221</f>
        <v/>
      </c>
      <c r="N221" s="10">
        <f>Raw_Data!N221</f>
        <v/>
      </c>
      <c r="O221" s="10">
        <f>Raw_Data!O221</f>
        <v/>
      </c>
      <c r="P221" s="11">
        <f>Raw_Data!P221</f>
        <v/>
      </c>
      <c r="R221" s="9">
        <f>IFERROR(Cleaned_Data!M221/Cleaned_Data!K221,0)</f>
        <v/>
      </c>
    </row>
    <row r="222">
      <c r="A222" s="7">
        <f>Raw_Data!A222</f>
        <v/>
      </c>
      <c r="B222" s="8">
        <f>Raw_Data!B222</f>
        <v/>
      </c>
      <c r="C222" s="8">
        <f>Raw_Data!C222</f>
        <v/>
      </c>
      <c r="D222" s="7">
        <f>Raw_Data!D222</f>
        <v/>
      </c>
      <c r="E222" s="7">
        <f>Raw_Data!E222</f>
        <v/>
      </c>
      <c r="F222" s="8">
        <f>Raw_Data!F222</f>
        <v/>
      </c>
      <c r="G222" s="8">
        <f>Raw_Data!G222</f>
        <v/>
      </c>
      <c r="H222" s="7">
        <f>Raw_Data!H222</f>
        <v/>
      </c>
      <c r="I222" s="7">
        <f>Raw_Data!I222</f>
        <v/>
      </c>
      <c r="J222" s="8">
        <f>Raw_Data!J222</f>
        <v/>
      </c>
      <c r="K222" s="8">
        <f>Raw_Data!K222</f>
        <v/>
      </c>
      <c r="L222" s="8">
        <f>Raw_Data!L222</f>
        <v/>
      </c>
      <c r="M222" s="7">
        <f>Raw_Data!M222</f>
        <v/>
      </c>
      <c r="N222" s="7">
        <f>Raw_Data!N222</f>
        <v/>
      </c>
      <c r="O222" s="7">
        <f>Raw_Data!O222</f>
        <v/>
      </c>
      <c r="P222" s="8">
        <f>Raw_Data!P222</f>
        <v/>
      </c>
      <c r="R222" s="9">
        <f>IFERROR(Cleaned_Data!M222/Cleaned_Data!K222,0)</f>
        <v/>
      </c>
    </row>
    <row r="223">
      <c r="A223" s="10">
        <f>Raw_Data!A223</f>
        <v/>
      </c>
      <c r="B223" s="11">
        <f>Raw_Data!B223</f>
        <v/>
      </c>
      <c r="C223" s="11">
        <f>Raw_Data!C223</f>
        <v/>
      </c>
      <c r="D223" s="10">
        <f>Raw_Data!D223</f>
        <v/>
      </c>
      <c r="E223" s="10">
        <f>Raw_Data!E223</f>
        <v/>
      </c>
      <c r="F223" s="11">
        <f>Raw_Data!F223</f>
        <v/>
      </c>
      <c r="G223" s="11">
        <f>Raw_Data!G223</f>
        <v/>
      </c>
      <c r="H223" s="10">
        <f>Raw_Data!H223</f>
        <v/>
      </c>
      <c r="I223" s="10">
        <f>Raw_Data!I223</f>
        <v/>
      </c>
      <c r="J223" s="11">
        <f>Raw_Data!J223</f>
        <v/>
      </c>
      <c r="K223" s="11">
        <f>Raw_Data!K223</f>
        <v/>
      </c>
      <c r="L223" s="11">
        <f>Raw_Data!L223</f>
        <v/>
      </c>
      <c r="M223" s="10">
        <f>Raw_Data!M223</f>
        <v/>
      </c>
      <c r="N223" s="10">
        <f>Raw_Data!N223</f>
        <v/>
      </c>
      <c r="O223" s="10">
        <f>Raw_Data!O223</f>
        <v/>
      </c>
      <c r="P223" s="11">
        <f>Raw_Data!P223</f>
        <v/>
      </c>
      <c r="R223" s="9">
        <f>IFERROR(Cleaned_Data!M223/Cleaned_Data!K223,0)</f>
        <v/>
      </c>
    </row>
    <row r="224">
      <c r="A224" s="7">
        <f>Raw_Data!A224</f>
        <v/>
      </c>
      <c r="B224" s="8">
        <f>Raw_Data!B224</f>
        <v/>
      </c>
      <c r="C224" s="8">
        <f>Raw_Data!C224</f>
        <v/>
      </c>
      <c r="D224" s="7">
        <f>Raw_Data!D224</f>
        <v/>
      </c>
      <c r="E224" s="7">
        <f>Raw_Data!E224</f>
        <v/>
      </c>
      <c r="F224" s="8">
        <f>Raw_Data!F224</f>
        <v/>
      </c>
      <c r="G224" s="8">
        <f>Raw_Data!G224</f>
        <v/>
      </c>
      <c r="H224" s="7">
        <f>Raw_Data!H224</f>
        <v/>
      </c>
      <c r="I224" s="7">
        <f>Raw_Data!I224</f>
        <v/>
      </c>
      <c r="J224" s="8">
        <f>Raw_Data!J224</f>
        <v/>
      </c>
      <c r="K224" s="8">
        <f>Raw_Data!K224</f>
        <v/>
      </c>
      <c r="L224" s="8">
        <f>Raw_Data!L224</f>
        <v/>
      </c>
      <c r="M224" s="7">
        <f>Raw_Data!M224</f>
        <v/>
      </c>
      <c r="N224" s="7">
        <f>Raw_Data!N224</f>
        <v/>
      </c>
      <c r="O224" s="7">
        <f>Raw_Data!O224</f>
        <v/>
      </c>
      <c r="P224" s="8">
        <f>Raw_Data!P224</f>
        <v/>
      </c>
      <c r="R224" s="9">
        <f>IFERROR(Cleaned_Data!M224/Cleaned_Data!K224,0)</f>
        <v/>
      </c>
    </row>
    <row r="225">
      <c r="A225" s="10">
        <f>Raw_Data!A225</f>
        <v/>
      </c>
      <c r="B225" s="11">
        <f>Raw_Data!B225</f>
        <v/>
      </c>
      <c r="C225" s="11">
        <f>Raw_Data!C225</f>
        <v/>
      </c>
      <c r="D225" s="10">
        <f>Raw_Data!D225</f>
        <v/>
      </c>
      <c r="E225" s="10">
        <f>Raw_Data!E225</f>
        <v/>
      </c>
      <c r="F225" s="11">
        <f>Raw_Data!F225</f>
        <v/>
      </c>
      <c r="G225" s="11">
        <f>Raw_Data!G225</f>
        <v/>
      </c>
      <c r="H225" s="10">
        <f>Raw_Data!H225</f>
        <v/>
      </c>
      <c r="I225" s="10">
        <f>Raw_Data!I225</f>
        <v/>
      </c>
      <c r="J225" s="11">
        <f>Raw_Data!J225</f>
        <v/>
      </c>
      <c r="K225" s="11">
        <f>Raw_Data!K225</f>
        <v/>
      </c>
      <c r="L225" s="11">
        <f>Raw_Data!L225</f>
        <v/>
      </c>
      <c r="M225" s="10">
        <f>Raw_Data!M225</f>
        <v/>
      </c>
      <c r="N225" s="10">
        <f>Raw_Data!N225</f>
        <v/>
      </c>
      <c r="O225" s="10">
        <f>Raw_Data!O225</f>
        <v/>
      </c>
      <c r="P225" s="11">
        <f>Raw_Data!P225</f>
        <v/>
      </c>
      <c r="R225" s="9">
        <f>IFERROR(Cleaned_Data!M225/Cleaned_Data!K225,0)</f>
        <v/>
      </c>
    </row>
    <row r="226">
      <c r="A226" s="7">
        <f>Raw_Data!A226</f>
        <v/>
      </c>
      <c r="B226" s="8">
        <f>Raw_Data!B226</f>
        <v/>
      </c>
      <c r="C226" s="8">
        <f>Raw_Data!C226</f>
        <v/>
      </c>
      <c r="D226" s="7">
        <f>Raw_Data!D226</f>
        <v/>
      </c>
      <c r="E226" s="7">
        <f>Raw_Data!E226</f>
        <v/>
      </c>
      <c r="F226" s="8">
        <f>Raw_Data!F226</f>
        <v/>
      </c>
      <c r="G226" s="8">
        <f>Raw_Data!G226</f>
        <v/>
      </c>
      <c r="H226" s="7">
        <f>Raw_Data!H226</f>
        <v/>
      </c>
      <c r="I226" s="7">
        <f>Raw_Data!I226</f>
        <v/>
      </c>
      <c r="J226" s="8">
        <f>Raw_Data!J226</f>
        <v/>
      </c>
      <c r="K226" s="8">
        <f>Raw_Data!K226</f>
        <v/>
      </c>
      <c r="L226" s="8">
        <f>Raw_Data!L226</f>
        <v/>
      </c>
      <c r="M226" s="7">
        <f>Raw_Data!M226</f>
        <v/>
      </c>
      <c r="N226" s="7">
        <f>Raw_Data!N226</f>
        <v/>
      </c>
      <c r="O226" s="7">
        <f>Raw_Data!O226</f>
        <v/>
      </c>
      <c r="P226" s="8">
        <f>Raw_Data!P226</f>
        <v/>
      </c>
      <c r="R226" s="9">
        <f>IFERROR(Cleaned_Data!M226/Cleaned_Data!K226,0)</f>
        <v/>
      </c>
    </row>
    <row r="227">
      <c r="A227" s="10">
        <f>Raw_Data!A227</f>
        <v/>
      </c>
      <c r="B227" s="11">
        <f>Raw_Data!B227</f>
        <v/>
      </c>
      <c r="C227" s="11">
        <f>Raw_Data!C227</f>
        <v/>
      </c>
      <c r="D227" s="10">
        <f>Raw_Data!D227</f>
        <v/>
      </c>
      <c r="E227" s="10">
        <f>Raw_Data!E227</f>
        <v/>
      </c>
      <c r="F227" s="11">
        <f>Raw_Data!F227</f>
        <v/>
      </c>
      <c r="G227" s="11">
        <f>Raw_Data!G227</f>
        <v/>
      </c>
      <c r="H227" s="10">
        <f>Raw_Data!H227</f>
        <v/>
      </c>
      <c r="I227" s="10">
        <f>Raw_Data!I227</f>
        <v/>
      </c>
      <c r="J227" s="11">
        <f>Raw_Data!J227</f>
        <v/>
      </c>
      <c r="K227" s="11">
        <f>Raw_Data!K227</f>
        <v/>
      </c>
      <c r="L227" s="11">
        <f>Raw_Data!L227</f>
        <v/>
      </c>
      <c r="M227" s="10">
        <f>Raw_Data!M227</f>
        <v/>
      </c>
      <c r="N227" s="10">
        <f>Raw_Data!N227</f>
        <v/>
      </c>
      <c r="O227" s="10">
        <f>Raw_Data!O227</f>
        <v/>
      </c>
      <c r="P227" s="11">
        <f>Raw_Data!P227</f>
        <v/>
      </c>
      <c r="R227" s="9">
        <f>IFERROR(Cleaned_Data!M227/Cleaned_Data!K227,0)</f>
        <v/>
      </c>
    </row>
    <row r="228">
      <c r="A228" s="7">
        <f>Raw_Data!A228</f>
        <v/>
      </c>
      <c r="B228" s="8">
        <f>Raw_Data!B228</f>
        <v/>
      </c>
      <c r="C228" s="8">
        <f>Raw_Data!C228</f>
        <v/>
      </c>
      <c r="D228" s="7">
        <f>Raw_Data!D228</f>
        <v/>
      </c>
      <c r="E228" s="7">
        <f>Raw_Data!E228</f>
        <v/>
      </c>
      <c r="F228" s="8">
        <f>Raw_Data!F228</f>
        <v/>
      </c>
      <c r="G228" s="8">
        <f>Raw_Data!G228</f>
        <v/>
      </c>
      <c r="H228" s="7">
        <f>Raw_Data!H228</f>
        <v/>
      </c>
      <c r="I228" s="7">
        <f>Raw_Data!I228</f>
        <v/>
      </c>
      <c r="J228" s="8">
        <f>Raw_Data!J228</f>
        <v/>
      </c>
      <c r="K228" s="8">
        <f>Raw_Data!K228</f>
        <v/>
      </c>
      <c r="L228" s="8">
        <f>Raw_Data!L228</f>
        <v/>
      </c>
      <c r="M228" s="7">
        <f>Raw_Data!M228</f>
        <v/>
      </c>
      <c r="N228" s="7">
        <f>Raw_Data!N228</f>
        <v/>
      </c>
      <c r="O228" s="7">
        <f>Raw_Data!O228</f>
        <v/>
      </c>
      <c r="P228" s="8">
        <f>Raw_Data!P228</f>
        <v/>
      </c>
      <c r="R228" s="9">
        <f>IFERROR(Cleaned_Data!M228/Cleaned_Data!K228,0)</f>
        <v/>
      </c>
    </row>
    <row r="229">
      <c r="A229" s="10">
        <f>Raw_Data!A229</f>
        <v/>
      </c>
      <c r="B229" s="11">
        <f>Raw_Data!B229</f>
        <v/>
      </c>
      <c r="C229" s="11">
        <f>Raw_Data!C229</f>
        <v/>
      </c>
      <c r="D229" s="10">
        <f>Raw_Data!D229</f>
        <v/>
      </c>
      <c r="E229" s="10">
        <f>Raw_Data!E229</f>
        <v/>
      </c>
      <c r="F229" s="11">
        <f>Raw_Data!F229</f>
        <v/>
      </c>
      <c r="G229" s="11">
        <f>Raw_Data!G229</f>
        <v/>
      </c>
      <c r="H229" s="10">
        <f>Raw_Data!H229</f>
        <v/>
      </c>
      <c r="I229" s="10">
        <f>Raw_Data!I229</f>
        <v/>
      </c>
      <c r="J229" s="11">
        <f>Raw_Data!J229</f>
        <v/>
      </c>
      <c r="K229" s="11">
        <f>Raw_Data!K229</f>
        <v/>
      </c>
      <c r="L229" s="11">
        <f>Raw_Data!L229</f>
        <v/>
      </c>
      <c r="M229" s="10">
        <f>Raw_Data!M229</f>
        <v/>
      </c>
      <c r="N229" s="10">
        <f>Raw_Data!N229</f>
        <v/>
      </c>
      <c r="O229" s="10">
        <f>Raw_Data!O229</f>
        <v/>
      </c>
      <c r="P229" s="11">
        <f>Raw_Data!P229</f>
        <v/>
      </c>
      <c r="R229" s="9">
        <f>IFERROR(Cleaned_Data!M229/Cleaned_Data!K229,0)</f>
        <v/>
      </c>
    </row>
    <row r="230">
      <c r="A230" s="7">
        <f>Raw_Data!A230</f>
        <v/>
      </c>
      <c r="B230" s="8">
        <f>Raw_Data!B230</f>
        <v/>
      </c>
      <c r="C230" s="8">
        <f>Raw_Data!C230</f>
        <v/>
      </c>
      <c r="D230" s="7">
        <f>Raw_Data!D230</f>
        <v/>
      </c>
      <c r="E230" s="7">
        <f>Raw_Data!E230</f>
        <v/>
      </c>
      <c r="F230" s="8">
        <f>Raw_Data!F230</f>
        <v/>
      </c>
      <c r="G230" s="8">
        <f>Raw_Data!G230</f>
        <v/>
      </c>
      <c r="H230" s="7">
        <f>Raw_Data!H230</f>
        <v/>
      </c>
      <c r="I230" s="7">
        <f>Raw_Data!I230</f>
        <v/>
      </c>
      <c r="J230" s="8">
        <f>Raw_Data!J230</f>
        <v/>
      </c>
      <c r="K230" s="8">
        <f>Raw_Data!K230</f>
        <v/>
      </c>
      <c r="L230" s="8">
        <f>Raw_Data!L230</f>
        <v/>
      </c>
      <c r="M230" s="7">
        <f>Raw_Data!M230</f>
        <v/>
      </c>
      <c r="N230" s="7">
        <f>Raw_Data!N230</f>
        <v/>
      </c>
      <c r="O230" s="7">
        <f>Raw_Data!O230</f>
        <v/>
      </c>
      <c r="P230" s="8">
        <f>Raw_Data!P230</f>
        <v/>
      </c>
      <c r="R230" s="9">
        <f>IFERROR(Cleaned_Data!M230/Cleaned_Data!K230,0)</f>
        <v/>
      </c>
    </row>
    <row r="231">
      <c r="A231" s="10">
        <f>Raw_Data!A231</f>
        <v/>
      </c>
      <c r="B231" s="11">
        <f>Raw_Data!B231</f>
        <v/>
      </c>
      <c r="C231" s="11">
        <f>Raw_Data!C231</f>
        <v/>
      </c>
      <c r="D231" s="10">
        <f>Raw_Data!D231</f>
        <v/>
      </c>
      <c r="E231" s="10">
        <f>Raw_Data!E231</f>
        <v/>
      </c>
      <c r="F231" s="11">
        <f>Raw_Data!F231</f>
        <v/>
      </c>
      <c r="G231" s="11">
        <f>Raw_Data!G231</f>
        <v/>
      </c>
      <c r="H231" s="10">
        <f>Raw_Data!H231</f>
        <v/>
      </c>
      <c r="I231" s="10">
        <f>Raw_Data!I231</f>
        <v/>
      </c>
      <c r="J231" s="11">
        <f>Raw_Data!J231</f>
        <v/>
      </c>
      <c r="K231" s="11">
        <f>Raw_Data!K231</f>
        <v/>
      </c>
      <c r="L231" s="11">
        <f>Raw_Data!L231</f>
        <v/>
      </c>
      <c r="M231" s="10">
        <f>Raw_Data!M231</f>
        <v/>
      </c>
      <c r="N231" s="10">
        <f>Raw_Data!N231</f>
        <v/>
      </c>
      <c r="O231" s="10">
        <f>Raw_Data!O231</f>
        <v/>
      </c>
      <c r="P231" s="11">
        <f>Raw_Data!P231</f>
        <v/>
      </c>
      <c r="R231" s="9">
        <f>IFERROR(Cleaned_Data!M231/Cleaned_Data!K231,0)</f>
        <v/>
      </c>
    </row>
    <row r="232">
      <c r="A232" s="7">
        <f>Raw_Data!A232</f>
        <v/>
      </c>
      <c r="B232" s="8">
        <f>Raw_Data!B232</f>
        <v/>
      </c>
      <c r="C232" s="8">
        <f>Raw_Data!C232</f>
        <v/>
      </c>
      <c r="D232" s="7">
        <f>Raw_Data!D232</f>
        <v/>
      </c>
      <c r="E232" s="7">
        <f>Raw_Data!E232</f>
        <v/>
      </c>
      <c r="F232" s="8">
        <f>Raw_Data!F232</f>
        <v/>
      </c>
      <c r="G232" s="8">
        <f>Raw_Data!G232</f>
        <v/>
      </c>
      <c r="H232" s="7">
        <f>Raw_Data!H232</f>
        <v/>
      </c>
      <c r="I232" s="7">
        <f>Raw_Data!I232</f>
        <v/>
      </c>
      <c r="J232" s="8">
        <f>Raw_Data!J232</f>
        <v/>
      </c>
      <c r="K232" s="8">
        <f>Raw_Data!K232</f>
        <v/>
      </c>
      <c r="L232" s="8">
        <f>Raw_Data!L232</f>
        <v/>
      </c>
      <c r="M232" s="7">
        <f>Raw_Data!M232</f>
        <v/>
      </c>
      <c r="N232" s="7">
        <f>Raw_Data!N232</f>
        <v/>
      </c>
      <c r="O232" s="7">
        <f>Raw_Data!O232</f>
        <v/>
      </c>
      <c r="P232" s="8">
        <f>Raw_Data!P232</f>
        <v/>
      </c>
      <c r="R232" s="9">
        <f>IFERROR(Cleaned_Data!M232/Cleaned_Data!K232,0)</f>
        <v/>
      </c>
    </row>
    <row r="233">
      <c r="A233" s="10">
        <f>Raw_Data!A233</f>
        <v/>
      </c>
      <c r="B233" s="11">
        <f>Raw_Data!B233</f>
        <v/>
      </c>
      <c r="C233" s="11">
        <f>Raw_Data!C233</f>
        <v/>
      </c>
      <c r="D233" s="10">
        <f>Raw_Data!D233</f>
        <v/>
      </c>
      <c r="E233" s="10">
        <f>Raw_Data!E233</f>
        <v/>
      </c>
      <c r="F233" s="11">
        <f>Raw_Data!F233</f>
        <v/>
      </c>
      <c r="G233" s="11">
        <f>Raw_Data!G233</f>
        <v/>
      </c>
      <c r="H233" s="10">
        <f>Raw_Data!H233</f>
        <v/>
      </c>
      <c r="I233" s="10">
        <f>Raw_Data!I233</f>
        <v/>
      </c>
      <c r="J233" s="11">
        <f>Raw_Data!J233</f>
        <v/>
      </c>
      <c r="K233" s="11">
        <f>Raw_Data!K233</f>
        <v/>
      </c>
      <c r="L233" s="11">
        <f>Raw_Data!L233</f>
        <v/>
      </c>
      <c r="M233" s="10">
        <f>Raw_Data!M233</f>
        <v/>
      </c>
      <c r="N233" s="10">
        <f>Raw_Data!N233</f>
        <v/>
      </c>
      <c r="O233" s="10">
        <f>Raw_Data!O233</f>
        <v/>
      </c>
      <c r="P233" s="11">
        <f>Raw_Data!P233</f>
        <v/>
      </c>
      <c r="R233" s="9">
        <f>IFERROR(Cleaned_Data!M233/Cleaned_Data!K233,0)</f>
        <v/>
      </c>
    </row>
    <row r="234">
      <c r="A234" s="7">
        <f>Raw_Data!A234</f>
        <v/>
      </c>
      <c r="B234" s="8">
        <f>Raw_Data!B234</f>
        <v/>
      </c>
      <c r="C234" s="8">
        <f>Raw_Data!C234</f>
        <v/>
      </c>
      <c r="D234" s="7">
        <f>Raw_Data!D234</f>
        <v/>
      </c>
      <c r="E234" s="7">
        <f>Raw_Data!E234</f>
        <v/>
      </c>
      <c r="F234" s="8">
        <f>Raw_Data!F234</f>
        <v/>
      </c>
      <c r="G234" s="8">
        <f>Raw_Data!G234</f>
        <v/>
      </c>
      <c r="H234" s="7">
        <f>Raw_Data!H234</f>
        <v/>
      </c>
      <c r="I234" s="7">
        <f>Raw_Data!I234</f>
        <v/>
      </c>
      <c r="J234" s="8">
        <f>Raw_Data!J234</f>
        <v/>
      </c>
      <c r="K234" s="8">
        <f>Raw_Data!K234</f>
        <v/>
      </c>
      <c r="L234" s="8">
        <f>Raw_Data!L234</f>
        <v/>
      </c>
      <c r="M234" s="7">
        <f>Raw_Data!M234</f>
        <v/>
      </c>
      <c r="N234" s="7">
        <f>Raw_Data!N234</f>
        <v/>
      </c>
      <c r="O234" s="7">
        <f>Raw_Data!O234</f>
        <v/>
      </c>
      <c r="P234" s="8">
        <f>Raw_Data!P234</f>
        <v/>
      </c>
      <c r="R234" s="9">
        <f>IFERROR(Cleaned_Data!M234/Cleaned_Data!K234,0)</f>
        <v/>
      </c>
    </row>
    <row r="235">
      <c r="A235" s="10">
        <f>Raw_Data!A235</f>
        <v/>
      </c>
      <c r="B235" s="11">
        <f>Raw_Data!B235</f>
        <v/>
      </c>
      <c r="C235" s="11">
        <f>Raw_Data!C235</f>
        <v/>
      </c>
      <c r="D235" s="10">
        <f>Raw_Data!D235</f>
        <v/>
      </c>
      <c r="E235" s="10">
        <f>Raw_Data!E235</f>
        <v/>
      </c>
      <c r="F235" s="11">
        <f>Raw_Data!F235</f>
        <v/>
      </c>
      <c r="G235" s="11">
        <f>Raw_Data!G235</f>
        <v/>
      </c>
      <c r="H235" s="10">
        <f>Raw_Data!H235</f>
        <v/>
      </c>
      <c r="I235" s="10">
        <f>Raw_Data!I235</f>
        <v/>
      </c>
      <c r="J235" s="11">
        <f>Raw_Data!J235</f>
        <v/>
      </c>
      <c r="K235" s="11">
        <f>Raw_Data!K235</f>
        <v/>
      </c>
      <c r="L235" s="11">
        <f>Raw_Data!L235</f>
        <v/>
      </c>
      <c r="M235" s="10">
        <f>Raw_Data!M235</f>
        <v/>
      </c>
      <c r="N235" s="10">
        <f>Raw_Data!N235</f>
        <v/>
      </c>
      <c r="O235" s="10">
        <f>Raw_Data!O235</f>
        <v/>
      </c>
      <c r="P235" s="11">
        <f>Raw_Data!P235</f>
        <v/>
      </c>
      <c r="R235" s="9">
        <f>IFERROR(Cleaned_Data!M235/Cleaned_Data!K235,0)</f>
        <v/>
      </c>
    </row>
    <row r="236">
      <c r="A236" s="7">
        <f>Raw_Data!A236</f>
        <v/>
      </c>
      <c r="B236" s="8">
        <f>Raw_Data!B236</f>
        <v/>
      </c>
      <c r="C236" s="8">
        <f>Raw_Data!C236</f>
        <v/>
      </c>
      <c r="D236" s="7">
        <f>Raw_Data!D236</f>
        <v/>
      </c>
      <c r="E236" s="7">
        <f>Raw_Data!E236</f>
        <v/>
      </c>
      <c r="F236" s="8">
        <f>Raw_Data!F236</f>
        <v/>
      </c>
      <c r="G236" s="8">
        <f>Raw_Data!G236</f>
        <v/>
      </c>
      <c r="H236" s="7">
        <f>Raw_Data!H236</f>
        <v/>
      </c>
      <c r="I236" s="7">
        <f>Raw_Data!I236</f>
        <v/>
      </c>
      <c r="J236" s="8">
        <f>Raw_Data!J236</f>
        <v/>
      </c>
      <c r="K236" s="8">
        <f>Raw_Data!K236</f>
        <v/>
      </c>
      <c r="L236" s="8">
        <f>Raw_Data!L236</f>
        <v/>
      </c>
      <c r="M236" s="7">
        <f>Raw_Data!M236</f>
        <v/>
      </c>
      <c r="N236" s="7">
        <f>Raw_Data!N236</f>
        <v/>
      </c>
      <c r="O236" s="7">
        <f>Raw_Data!O236</f>
        <v/>
      </c>
      <c r="P236" s="8">
        <f>Raw_Data!P236</f>
        <v/>
      </c>
      <c r="R236" s="9">
        <f>IFERROR(Cleaned_Data!M236/Cleaned_Data!K236,0)</f>
        <v/>
      </c>
    </row>
    <row r="237">
      <c r="A237" s="10">
        <f>Raw_Data!A237</f>
        <v/>
      </c>
      <c r="B237" s="11">
        <f>Raw_Data!B237</f>
        <v/>
      </c>
      <c r="C237" s="11">
        <f>Raw_Data!C237</f>
        <v/>
      </c>
      <c r="D237" s="10">
        <f>Raw_Data!D237</f>
        <v/>
      </c>
      <c r="E237" s="10">
        <f>Raw_Data!E237</f>
        <v/>
      </c>
      <c r="F237" s="11">
        <f>Raw_Data!F237</f>
        <v/>
      </c>
      <c r="G237" s="11">
        <f>Raw_Data!G237</f>
        <v/>
      </c>
      <c r="H237" s="10">
        <f>Raw_Data!H237</f>
        <v/>
      </c>
      <c r="I237" s="10">
        <f>Raw_Data!I237</f>
        <v/>
      </c>
      <c r="J237" s="11">
        <f>Raw_Data!J237</f>
        <v/>
      </c>
      <c r="K237" s="11">
        <f>Raw_Data!K237</f>
        <v/>
      </c>
      <c r="L237" s="11">
        <f>Raw_Data!L237</f>
        <v/>
      </c>
      <c r="M237" s="10">
        <f>Raw_Data!M237</f>
        <v/>
      </c>
      <c r="N237" s="10">
        <f>Raw_Data!N237</f>
        <v/>
      </c>
      <c r="O237" s="10">
        <f>Raw_Data!O237</f>
        <v/>
      </c>
      <c r="P237" s="11">
        <f>Raw_Data!P237</f>
        <v/>
      </c>
      <c r="R237" s="9">
        <f>IFERROR(Cleaned_Data!M237/Cleaned_Data!K237,0)</f>
        <v/>
      </c>
    </row>
    <row r="238">
      <c r="A238" s="7">
        <f>Raw_Data!A238</f>
        <v/>
      </c>
      <c r="B238" s="8">
        <f>Raw_Data!B238</f>
        <v/>
      </c>
      <c r="C238" s="8">
        <f>Raw_Data!C238</f>
        <v/>
      </c>
      <c r="D238" s="7">
        <f>Raw_Data!D238</f>
        <v/>
      </c>
      <c r="E238" s="7">
        <f>Raw_Data!E238</f>
        <v/>
      </c>
      <c r="F238" s="8">
        <f>Raw_Data!F238</f>
        <v/>
      </c>
      <c r="G238" s="8">
        <f>Raw_Data!G238</f>
        <v/>
      </c>
      <c r="H238" s="7">
        <f>Raw_Data!H238</f>
        <v/>
      </c>
      <c r="I238" s="7">
        <f>Raw_Data!I238</f>
        <v/>
      </c>
      <c r="J238" s="8">
        <f>Raw_Data!J238</f>
        <v/>
      </c>
      <c r="K238" s="8">
        <f>Raw_Data!K238</f>
        <v/>
      </c>
      <c r="L238" s="8">
        <f>Raw_Data!L238</f>
        <v/>
      </c>
      <c r="M238" s="7">
        <f>Raw_Data!M238</f>
        <v/>
      </c>
      <c r="N238" s="7">
        <f>Raw_Data!N238</f>
        <v/>
      </c>
      <c r="O238" s="7">
        <f>Raw_Data!O238</f>
        <v/>
      </c>
      <c r="P238" s="8">
        <f>Raw_Data!P238</f>
        <v/>
      </c>
      <c r="R238" s="9">
        <f>IFERROR(Cleaned_Data!M238/Cleaned_Data!K238,0)</f>
        <v/>
      </c>
    </row>
    <row r="239">
      <c r="A239" s="10">
        <f>Raw_Data!A239</f>
        <v/>
      </c>
      <c r="B239" s="11">
        <f>Raw_Data!B239</f>
        <v/>
      </c>
      <c r="C239" s="11">
        <f>Raw_Data!C239</f>
        <v/>
      </c>
      <c r="D239" s="10">
        <f>Raw_Data!D239</f>
        <v/>
      </c>
      <c r="E239" s="10">
        <f>Raw_Data!E239</f>
        <v/>
      </c>
      <c r="F239" s="11">
        <f>Raw_Data!F239</f>
        <v/>
      </c>
      <c r="G239" s="11">
        <f>Raw_Data!G239</f>
        <v/>
      </c>
      <c r="H239" s="10">
        <f>Raw_Data!H239</f>
        <v/>
      </c>
      <c r="I239" s="10">
        <f>Raw_Data!I239</f>
        <v/>
      </c>
      <c r="J239" s="11">
        <f>Raw_Data!J239</f>
        <v/>
      </c>
      <c r="K239" s="11">
        <f>Raw_Data!K239</f>
        <v/>
      </c>
      <c r="L239" s="11">
        <f>Raw_Data!L239</f>
        <v/>
      </c>
      <c r="M239" s="10">
        <f>Raw_Data!M239</f>
        <v/>
      </c>
      <c r="N239" s="10">
        <f>Raw_Data!N239</f>
        <v/>
      </c>
      <c r="O239" s="10">
        <f>Raw_Data!O239</f>
        <v/>
      </c>
      <c r="P239" s="11">
        <f>Raw_Data!P239</f>
        <v/>
      </c>
      <c r="R239" s="9">
        <f>IFERROR(Cleaned_Data!M239/Cleaned_Data!K239,0)</f>
        <v/>
      </c>
    </row>
    <row r="240">
      <c r="A240" s="7">
        <f>Raw_Data!A240</f>
        <v/>
      </c>
      <c r="B240" s="8">
        <f>Raw_Data!B240</f>
        <v/>
      </c>
      <c r="C240" s="8">
        <f>Raw_Data!C240</f>
        <v/>
      </c>
      <c r="D240" s="7">
        <f>Raw_Data!D240</f>
        <v/>
      </c>
      <c r="E240" s="7">
        <f>Raw_Data!E240</f>
        <v/>
      </c>
      <c r="F240" s="8">
        <f>Raw_Data!F240</f>
        <v/>
      </c>
      <c r="G240" s="8">
        <f>Raw_Data!G240</f>
        <v/>
      </c>
      <c r="H240" s="7">
        <f>Raw_Data!H240</f>
        <v/>
      </c>
      <c r="I240" s="7">
        <f>Raw_Data!I240</f>
        <v/>
      </c>
      <c r="J240" s="8">
        <f>Raw_Data!J240</f>
        <v/>
      </c>
      <c r="K240" s="8">
        <f>Raw_Data!K240</f>
        <v/>
      </c>
      <c r="L240" s="8">
        <f>Raw_Data!L240</f>
        <v/>
      </c>
      <c r="M240" s="7">
        <f>Raw_Data!M240</f>
        <v/>
      </c>
      <c r="N240" s="7">
        <f>Raw_Data!N240</f>
        <v/>
      </c>
      <c r="O240" s="7">
        <f>Raw_Data!O240</f>
        <v/>
      </c>
      <c r="P240" s="8">
        <f>Raw_Data!P240</f>
        <v/>
      </c>
      <c r="R240" s="9">
        <f>IFERROR(Cleaned_Data!M240/Cleaned_Data!K240,0)</f>
        <v/>
      </c>
    </row>
    <row r="241">
      <c r="A241" s="10">
        <f>Raw_Data!A241</f>
        <v/>
      </c>
      <c r="B241" s="11">
        <f>Raw_Data!B241</f>
        <v/>
      </c>
      <c r="C241" s="11">
        <f>Raw_Data!C241</f>
        <v/>
      </c>
      <c r="D241" s="10">
        <f>Raw_Data!D241</f>
        <v/>
      </c>
      <c r="E241" s="10">
        <f>Raw_Data!E241</f>
        <v/>
      </c>
      <c r="F241" s="11">
        <f>Raw_Data!F241</f>
        <v/>
      </c>
      <c r="G241" s="11">
        <f>Raw_Data!G241</f>
        <v/>
      </c>
      <c r="H241" s="10">
        <f>Raw_Data!H241</f>
        <v/>
      </c>
      <c r="I241" s="10">
        <f>Raw_Data!I241</f>
        <v/>
      </c>
      <c r="J241" s="11">
        <f>Raw_Data!J241</f>
        <v/>
      </c>
      <c r="K241" s="11">
        <f>Raw_Data!K241</f>
        <v/>
      </c>
      <c r="L241" s="11">
        <f>Raw_Data!L241</f>
        <v/>
      </c>
      <c r="M241" s="10">
        <f>Raw_Data!M241</f>
        <v/>
      </c>
      <c r="N241" s="10">
        <f>Raw_Data!N241</f>
        <v/>
      </c>
      <c r="O241" s="10">
        <f>Raw_Data!O241</f>
        <v/>
      </c>
      <c r="P241" s="11">
        <f>Raw_Data!P241</f>
        <v/>
      </c>
      <c r="R241" s="9">
        <f>IFERROR(Cleaned_Data!M241/Cleaned_Data!K241,0)</f>
        <v/>
      </c>
    </row>
    <row r="242">
      <c r="A242" s="7">
        <f>Raw_Data!A242</f>
        <v/>
      </c>
      <c r="B242" s="8">
        <f>Raw_Data!B242</f>
        <v/>
      </c>
      <c r="C242" s="8">
        <f>Raw_Data!C242</f>
        <v/>
      </c>
      <c r="D242" s="7">
        <f>Raw_Data!D242</f>
        <v/>
      </c>
      <c r="E242" s="7">
        <f>Raw_Data!E242</f>
        <v/>
      </c>
      <c r="F242" s="8">
        <f>Raw_Data!F242</f>
        <v/>
      </c>
      <c r="G242" s="8">
        <f>Raw_Data!G242</f>
        <v/>
      </c>
      <c r="H242" s="7">
        <f>Raw_Data!H242</f>
        <v/>
      </c>
      <c r="I242" s="7">
        <f>Raw_Data!I242</f>
        <v/>
      </c>
      <c r="J242" s="8">
        <f>Raw_Data!J242</f>
        <v/>
      </c>
      <c r="K242" s="8">
        <f>Raw_Data!K242</f>
        <v/>
      </c>
      <c r="L242" s="8">
        <f>Raw_Data!L242</f>
        <v/>
      </c>
      <c r="M242" s="7">
        <f>Raw_Data!M242</f>
        <v/>
      </c>
      <c r="N242" s="7">
        <f>Raw_Data!N242</f>
        <v/>
      </c>
      <c r="O242" s="7">
        <f>Raw_Data!O242</f>
        <v/>
      </c>
      <c r="P242" s="8">
        <f>Raw_Data!P242</f>
        <v/>
      </c>
      <c r="R242" s="9">
        <f>IFERROR(Cleaned_Data!M242/Cleaned_Data!K242,0)</f>
        <v/>
      </c>
    </row>
    <row r="243">
      <c r="A243" s="10">
        <f>Raw_Data!A243</f>
        <v/>
      </c>
      <c r="B243" s="11">
        <f>Raw_Data!B243</f>
        <v/>
      </c>
      <c r="C243" s="11">
        <f>Raw_Data!C243</f>
        <v/>
      </c>
      <c r="D243" s="10">
        <f>Raw_Data!D243</f>
        <v/>
      </c>
      <c r="E243" s="10">
        <f>Raw_Data!E243</f>
        <v/>
      </c>
      <c r="F243" s="11">
        <f>Raw_Data!F243</f>
        <v/>
      </c>
      <c r="G243" s="11">
        <f>Raw_Data!G243</f>
        <v/>
      </c>
      <c r="H243" s="10">
        <f>Raw_Data!H243</f>
        <v/>
      </c>
      <c r="I243" s="10">
        <f>Raw_Data!I243</f>
        <v/>
      </c>
      <c r="J243" s="11">
        <f>Raw_Data!J243</f>
        <v/>
      </c>
      <c r="K243" s="11">
        <f>Raw_Data!K243</f>
        <v/>
      </c>
      <c r="L243" s="11">
        <f>Raw_Data!L243</f>
        <v/>
      </c>
      <c r="M243" s="10">
        <f>Raw_Data!M243</f>
        <v/>
      </c>
      <c r="N243" s="10">
        <f>Raw_Data!N243</f>
        <v/>
      </c>
      <c r="O243" s="10">
        <f>Raw_Data!O243</f>
        <v/>
      </c>
      <c r="P243" s="11">
        <f>Raw_Data!P243</f>
        <v/>
      </c>
      <c r="R243" s="9">
        <f>IFERROR(Cleaned_Data!M243/Cleaned_Data!K243,0)</f>
        <v/>
      </c>
    </row>
    <row r="244">
      <c r="A244" s="7">
        <f>Raw_Data!A244</f>
        <v/>
      </c>
      <c r="B244" s="8">
        <f>Raw_Data!B244</f>
        <v/>
      </c>
      <c r="C244" s="8">
        <f>Raw_Data!C244</f>
        <v/>
      </c>
      <c r="D244" s="7">
        <f>Raw_Data!D244</f>
        <v/>
      </c>
      <c r="E244" s="7">
        <f>Raw_Data!E244</f>
        <v/>
      </c>
      <c r="F244" s="8">
        <f>Raw_Data!F244</f>
        <v/>
      </c>
      <c r="G244" s="8">
        <f>Raw_Data!G244</f>
        <v/>
      </c>
      <c r="H244" s="7">
        <f>Raw_Data!H244</f>
        <v/>
      </c>
      <c r="I244" s="7">
        <f>Raw_Data!I244</f>
        <v/>
      </c>
      <c r="J244" s="8">
        <f>Raw_Data!J244</f>
        <v/>
      </c>
      <c r="K244" s="8">
        <f>Raw_Data!K244</f>
        <v/>
      </c>
      <c r="L244" s="8">
        <f>Raw_Data!L244</f>
        <v/>
      </c>
      <c r="M244" s="7">
        <f>Raw_Data!M244</f>
        <v/>
      </c>
      <c r="N244" s="7">
        <f>Raw_Data!N244</f>
        <v/>
      </c>
      <c r="O244" s="7">
        <f>Raw_Data!O244</f>
        <v/>
      </c>
      <c r="P244" s="8">
        <f>Raw_Data!P244</f>
        <v/>
      </c>
      <c r="R244" s="9">
        <f>IFERROR(Cleaned_Data!M244/Cleaned_Data!K244,0)</f>
        <v/>
      </c>
    </row>
    <row r="245">
      <c r="A245" s="10">
        <f>Raw_Data!A245</f>
        <v/>
      </c>
      <c r="B245" s="11">
        <f>Raw_Data!B245</f>
        <v/>
      </c>
      <c r="C245" s="11">
        <f>Raw_Data!C245</f>
        <v/>
      </c>
      <c r="D245" s="10">
        <f>Raw_Data!D245</f>
        <v/>
      </c>
      <c r="E245" s="10">
        <f>Raw_Data!E245</f>
        <v/>
      </c>
      <c r="F245" s="11">
        <f>Raw_Data!F245</f>
        <v/>
      </c>
      <c r="G245" s="11">
        <f>Raw_Data!G245</f>
        <v/>
      </c>
      <c r="H245" s="10">
        <f>Raw_Data!H245</f>
        <v/>
      </c>
      <c r="I245" s="10">
        <f>Raw_Data!I245</f>
        <v/>
      </c>
      <c r="J245" s="11">
        <f>Raw_Data!J245</f>
        <v/>
      </c>
      <c r="K245" s="11">
        <f>Raw_Data!K245</f>
        <v/>
      </c>
      <c r="L245" s="11">
        <f>Raw_Data!L245</f>
        <v/>
      </c>
      <c r="M245" s="10">
        <f>Raw_Data!M245</f>
        <v/>
      </c>
      <c r="N245" s="10">
        <f>Raw_Data!N245</f>
        <v/>
      </c>
      <c r="O245" s="10">
        <f>Raw_Data!O245</f>
        <v/>
      </c>
      <c r="P245" s="11">
        <f>Raw_Data!P245</f>
        <v/>
      </c>
      <c r="R245" s="9">
        <f>IFERROR(Cleaned_Data!M245/Cleaned_Data!K245,0)</f>
        <v/>
      </c>
    </row>
    <row r="246">
      <c r="A246" s="7">
        <f>Raw_Data!A246</f>
        <v/>
      </c>
      <c r="B246" s="8">
        <f>Raw_Data!B246</f>
        <v/>
      </c>
      <c r="C246" s="8">
        <f>Raw_Data!C246</f>
        <v/>
      </c>
      <c r="D246" s="7">
        <f>Raw_Data!D246</f>
        <v/>
      </c>
      <c r="E246" s="7">
        <f>Raw_Data!E246</f>
        <v/>
      </c>
      <c r="F246" s="8">
        <f>Raw_Data!F246</f>
        <v/>
      </c>
      <c r="G246" s="8">
        <f>Raw_Data!G246</f>
        <v/>
      </c>
      <c r="H246" s="7">
        <f>Raw_Data!H246</f>
        <v/>
      </c>
      <c r="I246" s="7">
        <f>Raw_Data!I246</f>
        <v/>
      </c>
      <c r="J246" s="8">
        <f>Raw_Data!J246</f>
        <v/>
      </c>
      <c r="K246" s="8">
        <f>Raw_Data!K246</f>
        <v/>
      </c>
      <c r="L246" s="8">
        <f>Raw_Data!L246</f>
        <v/>
      </c>
      <c r="M246" s="7">
        <f>Raw_Data!M246</f>
        <v/>
      </c>
      <c r="N246" s="7">
        <f>Raw_Data!N246</f>
        <v/>
      </c>
      <c r="O246" s="7">
        <f>Raw_Data!O246</f>
        <v/>
      </c>
      <c r="P246" s="8">
        <f>Raw_Data!P246</f>
        <v/>
      </c>
      <c r="R246" s="9">
        <f>IFERROR(Cleaned_Data!M246/Cleaned_Data!K246,0)</f>
        <v/>
      </c>
    </row>
    <row r="247">
      <c r="A247" s="10">
        <f>Raw_Data!A247</f>
        <v/>
      </c>
      <c r="B247" s="11">
        <f>Raw_Data!B247</f>
        <v/>
      </c>
      <c r="C247" s="11">
        <f>Raw_Data!C247</f>
        <v/>
      </c>
      <c r="D247" s="10">
        <f>Raw_Data!D247</f>
        <v/>
      </c>
      <c r="E247" s="10">
        <f>Raw_Data!E247</f>
        <v/>
      </c>
      <c r="F247" s="11">
        <f>Raw_Data!F247</f>
        <v/>
      </c>
      <c r="G247" s="11">
        <f>Raw_Data!G247</f>
        <v/>
      </c>
      <c r="H247" s="10">
        <f>Raw_Data!H247</f>
        <v/>
      </c>
      <c r="I247" s="10">
        <f>Raw_Data!I247</f>
        <v/>
      </c>
      <c r="J247" s="11">
        <f>Raw_Data!J247</f>
        <v/>
      </c>
      <c r="K247" s="11">
        <f>Raw_Data!K247</f>
        <v/>
      </c>
      <c r="L247" s="11">
        <f>Raw_Data!L247</f>
        <v/>
      </c>
      <c r="M247" s="10">
        <f>Raw_Data!M247</f>
        <v/>
      </c>
      <c r="N247" s="10">
        <f>Raw_Data!N247</f>
        <v/>
      </c>
      <c r="O247" s="10">
        <f>Raw_Data!O247</f>
        <v/>
      </c>
      <c r="P247" s="11">
        <f>Raw_Data!P247</f>
        <v/>
      </c>
      <c r="R247" s="9">
        <f>IFERROR(Cleaned_Data!M247/Cleaned_Data!K247,0)</f>
        <v/>
      </c>
    </row>
    <row r="248">
      <c r="A248" s="7">
        <f>Raw_Data!A248</f>
        <v/>
      </c>
      <c r="B248" s="8">
        <f>Raw_Data!B248</f>
        <v/>
      </c>
      <c r="C248" s="8">
        <f>Raw_Data!C248</f>
        <v/>
      </c>
      <c r="D248" s="7">
        <f>Raw_Data!D248</f>
        <v/>
      </c>
      <c r="E248" s="7">
        <f>Raw_Data!E248</f>
        <v/>
      </c>
      <c r="F248" s="8">
        <f>Raw_Data!F248</f>
        <v/>
      </c>
      <c r="G248" s="8">
        <f>Raw_Data!G248</f>
        <v/>
      </c>
      <c r="H248" s="7">
        <f>Raw_Data!H248</f>
        <v/>
      </c>
      <c r="I248" s="7">
        <f>Raw_Data!I248</f>
        <v/>
      </c>
      <c r="J248" s="8">
        <f>Raw_Data!J248</f>
        <v/>
      </c>
      <c r="K248" s="8">
        <f>Raw_Data!K248</f>
        <v/>
      </c>
      <c r="L248" s="8">
        <f>Raw_Data!L248</f>
        <v/>
      </c>
      <c r="M248" s="7">
        <f>Raw_Data!M248</f>
        <v/>
      </c>
      <c r="N248" s="7">
        <f>Raw_Data!N248</f>
        <v/>
      </c>
      <c r="O248" s="7">
        <f>Raw_Data!O248</f>
        <v/>
      </c>
      <c r="P248" s="8">
        <f>Raw_Data!P248</f>
        <v/>
      </c>
      <c r="R248" s="9">
        <f>IFERROR(Cleaned_Data!M248/Cleaned_Data!K248,0)</f>
        <v/>
      </c>
    </row>
    <row r="249">
      <c r="A249" s="10">
        <f>Raw_Data!A249</f>
        <v/>
      </c>
      <c r="B249" s="11">
        <f>Raw_Data!B249</f>
        <v/>
      </c>
      <c r="C249" s="11">
        <f>Raw_Data!C249</f>
        <v/>
      </c>
      <c r="D249" s="10">
        <f>Raw_Data!D249</f>
        <v/>
      </c>
      <c r="E249" s="10">
        <f>Raw_Data!E249</f>
        <v/>
      </c>
      <c r="F249" s="11">
        <f>Raw_Data!F249</f>
        <v/>
      </c>
      <c r="G249" s="11">
        <f>Raw_Data!G249</f>
        <v/>
      </c>
      <c r="H249" s="10">
        <f>Raw_Data!H249</f>
        <v/>
      </c>
      <c r="I249" s="10">
        <f>Raw_Data!I249</f>
        <v/>
      </c>
      <c r="J249" s="11">
        <f>Raw_Data!J249</f>
        <v/>
      </c>
      <c r="K249" s="11">
        <f>Raw_Data!K249</f>
        <v/>
      </c>
      <c r="L249" s="11">
        <f>Raw_Data!L249</f>
        <v/>
      </c>
      <c r="M249" s="10">
        <f>Raw_Data!M249</f>
        <v/>
      </c>
      <c r="N249" s="10">
        <f>Raw_Data!N249</f>
        <v/>
      </c>
      <c r="O249" s="10">
        <f>Raw_Data!O249</f>
        <v/>
      </c>
      <c r="P249" s="11">
        <f>Raw_Data!P249</f>
        <v/>
      </c>
      <c r="R249" s="9">
        <f>IFERROR(Cleaned_Data!M249/Cleaned_Data!K249,0)</f>
        <v/>
      </c>
    </row>
    <row r="250">
      <c r="A250" s="7">
        <f>Raw_Data!A250</f>
        <v/>
      </c>
      <c r="B250" s="8">
        <f>Raw_Data!B250</f>
        <v/>
      </c>
      <c r="C250" s="8">
        <f>Raw_Data!C250</f>
        <v/>
      </c>
      <c r="D250" s="7">
        <f>Raw_Data!D250</f>
        <v/>
      </c>
      <c r="E250" s="7">
        <f>Raw_Data!E250</f>
        <v/>
      </c>
      <c r="F250" s="8">
        <f>Raw_Data!F250</f>
        <v/>
      </c>
      <c r="G250" s="8">
        <f>Raw_Data!G250</f>
        <v/>
      </c>
      <c r="H250" s="7">
        <f>Raw_Data!H250</f>
        <v/>
      </c>
      <c r="I250" s="7">
        <f>Raw_Data!I250</f>
        <v/>
      </c>
      <c r="J250" s="8">
        <f>Raw_Data!J250</f>
        <v/>
      </c>
      <c r="K250" s="8">
        <f>Raw_Data!K250</f>
        <v/>
      </c>
      <c r="L250" s="8">
        <f>Raw_Data!L250</f>
        <v/>
      </c>
      <c r="M250" s="7">
        <f>Raw_Data!M250</f>
        <v/>
      </c>
      <c r="N250" s="7">
        <f>Raw_Data!N250</f>
        <v/>
      </c>
      <c r="O250" s="7">
        <f>Raw_Data!O250</f>
        <v/>
      </c>
      <c r="P250" s="8">
        <f>Raw_Data!P250</f>
        <v/>
      </c>
      <c r="R250" s="9">
        <f>IFERROR(Cleaned_Data!M250/Cleaned_Data!K250,0)</f>
        <v/>
      </c>
    </row>
    <row r="251">
      <c r="A251" s="10">
        <f>Raw_Data!A251</f>
        <v/>
      </c>
      <c r="B251" s="11">
        <f>Raw_Data!B251</f>
        <v/>
      </c>
      <c r="C251" s="11">
        <f>Raw_Data!C251</f>
        <v/>
      </c>
      <c r="D251" s="10">
        <f>Raw_Data!D251</f>
        <v/>
      </c>
      <c r="E251" s="10">
        <f>Raw_Data!E251</f>
        <v/>
      </c>
      <c r="F251" s="11">
        <f>Raw_Data!F251</f>
        <v/>
      </c>
      <c r="G251" s="11">
        <f>Raw_Data!G251</f>
        <v/>
      </c>
      <c r="H251" s="10">
        <f>Raw_Data!H251</f>
        <v/>
      </c>
      <c r="I251" s="10">
        <f>Raw_Data!I251</f>
        <v/>
      </c>
      <c r="J251" s="11">
        <f>Raw_Data!J251</f>
        <v/>
      </c>
      <c r="K251" s="11">
        <f>Raw_Data!K251</f>
        <v/>
      </c>
      <c r="L251" s="11">
        <f>Raw_Data!L251</f>
        <v/>
      </c>
      <c r="M251" s="10">
        <f>Raw_Data!M251</f>
        <v/>
      </c>
      <c r="N251" s="10">
        <f>Raw_Data!N251</f>
        <v/>
      </c>
      <c r="O251" s="10">
        <f>Raw_Data!O251</f>
        <v/>
      </c>
      <c r="P251" s="11">
        <f>Raw_Data!P251</f>
        <v/>
      </c>
      <c r="R251" s="9">
        <f>IFERROR(Cleaned_Data!M251/Cleaned_Data!K251,0)</f>
        <v/>
      </c>
    </row>
    <row r="252">
      <c r="A252" s="7">
        <f>Raw_Data!A252</f>
        <v/>
      </c>
      <c r="B252" s="8">
        <f>Raw_Data!B252</f>
        <v/>
      </c>
      <c r="C252" s="8">
        <f>Raw_Data!C252</f>
        <v/>
      </c>
      <c r="D252" s="7">
        <f>Raw_Data!D252</f>
        <v/>
      </c>
      <c r="E252" s="7">
        <f>Raw_Data!E252</f>
        <v/>
      </c>
      <c r="F252" s="8">
        <f>Raw_Data!F252</f>
        <v/>
      </c>
      <c r="G252" s="8">
        <f>Raw_Data!G252</f>
        <v/>
      </c>
      <c r="H252" s="7">
        <f>Raw_Data!H252</f>
        <v/>
      </c>
      <c r="I252" s="7">
        <f>Raw_Data!I252</f>
        <v/>
      </c>
      <c r="J252" s="8">
        <f>Raw_Data!J252</f>
        <v/>
      </c>
      <c r="K252" s="8">
        <f>Raw_Data!K252</f>
        <v/>
      </c>
      <c r="L252" s="8">
        <f>Raw_Data!L252</f>
        <v/>
      </c>
      <c r="M252" s="7">
        <f>Raw_Data!M252</f>
        <v/>
      </c>
      <c r="N252" s="7">
        <f>Raw_Data!N252</f>
        <v/>
      </c>
      <c r="O252" s="7">
        <f>Raw_Data!O252</f>
        <v/>
      </c>
      <c r="P252" s="8">
        <f>Raw_Data!P252</f>
        <v/>
      </c>
      <c r="R252" s="9">
        <f>IFERROR(Cleaned_Data!M252/Cleaned_Data!K252,0)</f>
        <v/>
      </c>
    </row>
    <row r="253">
      <c r="A253" s="10">
        <f>Raw_Data!A253</f>
        <v/>
      </c>
      <c r="B253" s="11">
        <f>Raw_Data!B253</f>
        <v/>
      </c>
      <c r="C253" s="11">
        <f>Raw_Data!C253</f>
        <v/>
      </c>
      <c r="D253" s="10">
        <f>Raw_Data!D253</f>
        <v/>
      </c>
      <c r="E253" s="10">
        <f>Raw_Data!E253</f>
        <v/>
      </c>
      <c r="F253" s="11">
        <f>Raw_Data!F253</f>
        <v/>
      </c>
      <c r="G253" s="11">
        <f>Raw_Data!G253</f>
        <v/>
      </c>
      <c r="H253" s="10">
        <f>Raw_Data!H253</f>
        <v/>
      </c>
      <c r="I253" s="10">
        <f>Raw_Data!I253</f>
        <v/>
      </c>
      <c r="J253" s="11">
        <f>Raw_Data!J253</f>
        <v/>
      </c>
      <c r="K253" s="11">
        <f>Raw_Data!K253</f>
        <v/>
      </c>
      <c r="L253" s="11">
        <f>Raw_Data!L253</f>
        <v/>
      </c>
      <c r="M253" s="10">
        <f>Raw_Data!M253</f>
        <v/>
      </c>
      <c r="N253" s="10">
        <f>Raw_Data!N253</f>
        <v/>
      </c>
      <c r="O253" s="10">
        <f>Raw_Data!O253</f>
        <v/>
      </c>
      <c r="P253" s="11">
        <f>Raw_Data!P253</f>
        <v/>
      </c>
      <c r="R253" s="9">
        <f>IFERROR(Cleaned_Data!M253/Cleaned_Data!K253,0)</f>
        <v/>
      </c>
    </row>
    <row r="254">
      <c r="A254" s="7">
        <f>Raw_Data!A254</f>
        <v/>
      </c>
      <c r="B254" s="8">
        <f>Raw_Data!B254</f>
        <v/>
      </c>
      <c r="C254" s="8">
        <f>Raw_Data!C254</f>
        <v/>
      </c>
      <c r="D254" s="7">
        <f>Raw_Data!D254</f>
        <v/>
      </c>
      <c r="E254" s="7">
        <f>Raw_Data!E254</f>
        <v/>
      </c>
      <c r="F254" s="8">
        <f>Raw_Data!F254</f>
        <v/>
      </c>
      <c r="G254" s="8">
        <f>Raw_Data!G254</f>
        <v/>
      </c>
      <c r="H254" s="7">
        <f>Raw_Data!H254</f>
        <v/>
      </c>
      <c r="I254" s="7">
        <f>Raw_Data!I254</f>
        <v/>
      </c>
      <c r="J254" s="8">
        <f>Raw_Data!J254</f>
        <v/>
      </c>
      <c r="K254" s="8">
        <f>Raw_Data!K254</f>
        <v/>
      </c>
      <c r="L254" s="8">
        <f>Raw_Data!L254</f>
        <v/>
      </c>
      <c r="M254" s="7">
        <f>Raw_Data!M254</f>
        <v/>
      </c>
      <c r="N254" s="7">
        <f>Raw_Data!N254</f>
        <v/>
      </c>
      <c r="O254" s="7">
        <f>Raw_Data!O254</f>
        <v/>
      </c>
      <c r="P254" s="8">
        <f>Raw_Data!P254</f>
        <v/>
      </c>
      <c r="R254" s="9">
        <f>IFERROR(Cleaned_Data!M254/Cleaned_Data!K254,0)</f>
        <v/>
      </c>
    </row>
    <row r="255">
      <c r="A255" s="10">
        <f>Raw_Data!A255</f>
        <v/>
      </c>
      <c r="B255" s="11">
        <f>Raw_Data!B255</f>
        <v/>
      </c>
      <c r="C255" s="11">
        <f>Raw_Data!C255</f>
        <v/>
      </c>
      <c r="D255" s="10">
        <f>Raw_Data!D255</f>
        <v/>
      </c>
      <c r="E255" s="10">
        <f>Raw_Data!E255</f>
        <v/>
      </c>
      <c r="F255" s="11">
        <f>Raw_Data!F255</f>
        <v/>
      </c>
      <c r="G255" s="11">
        <f>Raw_Data!G255</f>
        <v/>
      </c>
      <c r="H255" s="10">
        <f>Raw_Data!H255</f>
        <v/>
      </c>
      <c r="I255" s="10">
        <f>Raw_Data!I255</f>
        <v/>
      </c>
      <c r="J255" s="11">
        <f>Raw_Data!J255</f>
        <v/>
      </c>
      <c r="K255" s="11">
        <f>Raw_Data!K255</f>
        <v/>
      </c>
      <c r="L255" s="11">
        <f>Raw_Data!L255</f>
        <v/>
      </c>
      <c r="M255" s="10">
        <f>Raw_Data!M255</f>
        <v/>
      </c>
      <c r="N255" s="10">
        <f>Raw_Data!N255</f>
        <v/>
      </c>
      <c r="O255" s="10">
        <f>Raw_Data!O255</f>
        <v/>
      </c>
      <c r="P255" s="11">
        <f>Raw_Data!P255</f>
        <v/>
      </c>
      <c r="R255" s="9">
        <f>IFERROR(Cleaned_Data!M255/Cleaned_Data!K255,0)</f>
        <v/>
      </c>
    </row>
    <row r="256">
      <c r="A256" s="7">
        <f>Raw_Data!A256</f>
        <v/>
      </c>
      <c r="B256" s="8">
        <f>Raw_Data!B256</f>
        <v/>
      </c>
      <c r="C256" s="8">
        <f>Raw_Data!C256</f>
        <v/>
      </c>
      <c r="D256" s="7">
        <f>Raw_Data!D256</f>
        <v/>
      </c>
      <c r="E256" s="7">
        <f>Raw_Data!E256</f>
        <v/>
      </c>
      <c r="F256" s="8">
        <f>Raw_Data!F256</f>
        <v/>
      </c>
      <c r="G256" s="8">
        <f>Raw_Data!G256</f>
        <v/>
      </c>
      <c r="H256" s="7">
        <f>Raw_Data!H256</f>
        <v/>
      </c>
      <c r="I256" s="7">
        <f>Raw_Data!I256</f>
        <v/>
      </c>
      <c r="J256" s="8">
        <f>Raw_Data!J256</f>
        <v/>
      </c>
      <c r="K256" s="8">
        <f>Raw_Data!K256</f>
        <v/>
      </c>
      <c r="L256" s="8">
        <f>Raw_Data!L256</f>
        <v/>
      </c>
      <c r="M256" s="7">
        <f>Raw_Data!M256</f>
        <v/>
      </c>
      <c r="N256" s="7">
        <f>Raw_Data!N256</f>
        <v/>
      </c>
      <c r="O256" s="7">
        <f>Raw_Data!O256</f>
        <v/>
      </c>
      <c r="P256" s="8">
        <f>Raw_Data!P256</f>
        <v/>
      </c>
      <c r="R256" s="9">
        <f>IFERROR(Cleaned_Data!M256/Cleaned_Data!K256,0)</f>
        <v/>
      </c>
    </row>
    <row r="257">
      <c r="A257" s="10">
        <f>Raw_Data!A257</f>
        <v/>
      </c>
      <c r="B257" s="11">
        <f>Raw_Data!B257</f>
        <v/>
      </c>
      <c r="C257" s="11">
        <f>Raw_Data!C257</f>
        <v/>
      </c>
      <c r="D257" s="10">
        <f>Raw_Data!D257</f>
        <v/>
      </c>
      <c r="E257" s="10">
        <f>Raw_Data!E257</f>
        <v/>
      </c>
      <c r="F257" s="11">
        <f>Raw_Data!F257</f>
        <v/>
      </c>
      <c r="G257" s="11">
        <f>Raw_Data!G257</f>
        <v/>
      </c>
      <c r="H257" s="10">
        <f>Raw_Data!H257</f>
        <v/>
      </c>
      <c r="I257" s="10">
        <f>Raw_Data!I257</f>
        <v/>
      </c>
      <c r="J257" s="11">
        <f>Raw_Data!J257</f>
        <v/>
      </c>
      <c r="K257" s="11">
        <f>Raw_Data!K257</f>
        <v/>
      </c>
      <c r="L257" s="11">
        <f>Raw_Data!L257</f>
        <v/>
      </c>
      <c r="M257" s="10">
        <f>Raw_Data!M257</f>
        <v/>
      </c>
      <c r="N257" s="10">
        <f>Raw_Data!N257</f>
        <v/>
      </c>
      <c r="O257" s="10">
        <f>Raw_Data!O257</f>
        <v/>
      </c>
      <c r="P257" s="11">
        <f>Raw_Data!P257</f>
        <v/>
      </c>
      <c r="R257" s="9">
        <f>IFERROR(Cleaned_Data!M257/Cleaned_Data!K257,0)</f>
        <v/>
      </c>
    </row>
    <row r="258">
      <c r="A258" s="7">
        <f>Raw_Data!A258</f>
        <v/>
      </c>
      <c r="B258" s="8">
        <f>Raw_Data!B258</f>
        <v/>
      </c>
      <c r="C258" s="8">
        <f>Raw_Data!C258</f>
        <v/>
      </c>
      <c r="D258" s="7">
        <f>Raw_Data!D258</f>
        <v/>
      </c>
      <c r="E258" s="7">
        <f>Raw_Data!E258</f>
        <v/>
      </c>
      <c r="F258" s="8">
        <f>Raw_Data!F258</f>
        <v/>
      </c>
      <c r="G258" s="8">
        <f>Raw_Data!G258</f>
        <v/>
      </c>
      <c r="H258" s="7">
        <f>Raw_Data!H258</f>
        <v/>
      </c>
      <c r="I258" s="7">
        <f>Raw_Data!I258</f>
        <v/>
      </c>
      <c r="J258" s="8">
        <f>Raw_Data!J258</f>
        <v/>
      </c>
      <c r="K258" s="8">
        <f>Raw_Data!K258</f>
        <v/>
      </c>
      <c r="L258" s="8">
        <f>Raw_Data!L258</f>
        <v/>
      </c>
      <c r="M258" s="7">
        <f>Raw_Data!M258</f>
        <v/>
      </c>
      <c r="N258" s="7">
        <f>Raw_Data!N258</f>
        <v/>
      </c>
      <c r="O258" s="7">
        <f>Raw_Data!O258</f>
        <v/>
      </c>
      <c r="P258" s="8">
        <f>Raw_Data!P258</f>
        <v/>
      </c>
      <c r="R258" s="9">
        <f>IFERROR(Cleaned_Data!M258/Cleaned_Data!K258,0)</f>
        <v/>
      </c>
    </row>
    <row r="259">
      <c r="A259" s="10">
        <f>Raw_Data!A259</f>
        <v/>
      </c>
      <c r="B259" s="11">
        <f>Raw_Data!B259</f>
        <v/>
      </c>
      <c r="C259" s="11">
        <f>Raw_Data!C259</f>
        <v/>
      </c>
      <c r="D259" s="10">
        <f>Raw_Data!D259</f>
        <v/>
      </c>
      <c r="E259" s="10">
        <f>Raw_Data!E259</f>
        <v/>
      </c>
      <c r="F259" s="11">
        <f>Raw_Data!F259</f>
        <v/>
      </c>
      <c r="G259" s="11">
        <f>Raw_Data!G259</f>
        <v/>
      </c>
      <c r="H259" s="10">
        <f>Raw_Data!H259</f>
        <v/>
      </c>
      <c r="I259" s="10">
        <f>Raw_Data!I259</f>
        <v/>
      </c>
      <c r="J259" s="11">
        <f>Raw_Data!J259</f>
        <v/>
      </c>
      <c r="K259" s="11">
        <f>Raw_Data!K259</f>
        <v/>
      </c>
      <c r="L259" s="11">
        <f>Raw_Data!L259</f>
        <v/>
      </c>
      <c r="M259" s="10">
        <f>Raw_Data!M259</f>
        <v/>
      </c>
      <c r="N259" s="10">
        <f>Raw_Data!N259</f>
        <v/>
      </c>
      <c r="O259" s="10">
        <f>Raw_Data!O259</f>
        <v/>
      </c>
      <c r="P259" s="11">
        <f>Raw_Data!P259</f>
        <v/>
      </c>
      <c r="R259" s="9">
        <f>IFERROR(Cleaned_Data!M259/Cleaned_Data!K259,0)</f>
        <v/>
      </c>
    </row>
    <row r="260">
      <c r="A260" s="7">
        <f>Raw_Data!A260</f>
        <v/>
      </c>
      <c r="B260" s="8">
        <f>Raw_Data!B260</f>
        <v/>
      </c>
      <c r="C260" s="8">
        <f>Raw_Data!C260</f>
        <v/>
      </c>
      <c r="D260" s="7">
        <f>Raw_Data!D260</f>
        <v/>
      </c>
      <c r="E260" s="7">
        <f>Raw_Data!E260</f>
        <v/>
      </c>
      <c r="F260" s="8">
        <f>Raw_Data!F260</f>
        <v/>
      </c>
      <c r="G260" s="8">
        <f>Raw_Data!G260</f>
        <v/>
      </c>
      <c r="H260" s="7">
        <f>Raw_Data!H260</f>
        <v/>
      </c>
      <c r="I260" s="7">
        <f>Raw_Data!I260</f>
        <v/>
      </c>
      <c r="J260" s="8">
        <f>Raw_Data!J260</f>
        <v/>
      </c>
      <c r="K260" s="8">
        <f>Raw_Data!K260</f>
        <v/>
      </c>
      <c r="L260" s="8">
        <f>Raw_Data!L260</f>
        <v/>
      </c>
      <c r="M260" s="7">
        <f>Raw_Data!M260</f>
        <v/>
      </c>
      <c r="N260" s="7">
        <f>Raw_Data!N260</f>
        <v/>
      </c>
      <c r="O260" s="7">
        <f>Raw_Data!O260</f>
        <v/>
      </c>
      <c r="P260" s="8">
        <f>Raw_Data!P260</f>
        <v/>
      </c>
      <c r="R260" s="9">
        <f>IFERROR(Cleaned_Data!M260/Cleaned_Data!K260,0)</f>
        <v/>
      </c>
    </row>
    <row r="261">
      <c r="A261" s="10">
        <f>Raw_Data!A261</f>
        <v/>
      </c>
      <c r="B261" s="11">
        <f>Raw_Data!B261</f>
        <v/>
      </c>
      <c r="C261" s="11">
        <f>Raw_Data!C261</f>
        <v/>
      </c>
      <c r="D261" s="10">
        <f>Raw_Data!D261</f>
        <v/>
      </c>
      <c r="E261" s="10">
        <f>Raw_Data!E261</f>
        <v/>
      </c>
      <c r="F261" s="11">
        <f>Raw_Data!F261</f>
        <v/>
      </c>
      <c r="G261" s="11">
        <f>Raw_Data!G261</f>
        <v/>
      </c>
      <c r="H261" s="10">
        <f>Raw_Data!H261</f>
        <v/>
      </c>
      <c r="I261" s="10">
        <f>Raw_Data!I261</f>
        <v/>
      </c>
      <c r="J261" s="11">
        <f>Raw_Data!J261</f>
        <v/>
      </c>
      <c r="K261" s="11">
        <f>Raw_Data!K261</f>
        <v/>
      </c>
      <c r="L261" s="11">
        <f>Raw_Data!L261</f>
        <v/>
      </c>
      <c r="M261" s="10">
        <f>Raw_Data!M261</f>
        <v/>
      </c>
      <c r="N261" s="10">
        <f>Raw_Data!N261</f>
        <v/>
      </c>
      <c r="O261" s="10">
        <f>Raw_Data!O261</f>
        <v/>
      </c>
      <c r="P261" s="11">
        <f>Raw_Data!P261</f>
        <v/>
      </c>
      <c r="R261" s="9">
        <f>IFERROR(Cleaned_Data!M261/Cleaned_Data!K261,0)</f>
        <v/>
      </c>
    </row>
    <row r="262">
      <c r="A262" s="7">
        <f>Raw_Data!A262</f>
        <v/>
      </c>
      <c r="B262" s="8">
        <f>Raw_Data!B262</f>
        <v/>
      </c>
      <c r="C262" s="8">
        <f>Raw_Data!C262</f>
        <v/>
      </c>
      <c r="D262" s="7">
        <f>Raw_Data!D262</f>
        <v/>
      </c>
      <c r="E262" s="7">
        <f>Raw_Data!E262</f>
        <v/>
      </c>
      <c r="F262" s="8">
        <f>Raw_Data!F262</f>
        <v/>
      </c>
      <c r="G262" s="8">
        <f>Raw_Data!G262</f>
        <v/>
      </c>
      <c r="H262" s="7">
        <f>Raw_Data!H262</f>
        <v/>
      </c>
      <c r="I262" s="7">
        <f>Raw_Data!I262</f>
        <v/>
      </c>
      <c r="J262" s="8">
        <f>Raw_Data!J262</f>
        <v/>
      </c>
      <c r="K262" s="8">
        <f>Raw_Data!K262</f>
        <v/>
      </c>
      <c r="L262" s="8">
        <f>Raw_Data!L262</f>
        <v/>
      </c>
      <c r="M262" s="7">
        <f>Raw_Data!M262</f>
        <v/>
      </c>
      <c r="N262" s="7">
        <f>Raw_Data!N262</f>
        <v/>
      </c>
      <c r="O262" s="7">
        <f>Raw_Data!O262</f>
        <v/>
      </c>
      <c r="P262" s="8">
        <f>Raw_Data!P262</f>
        <v/>
      </c>
      <c r="R262" s="9">
        <f>IFERROR(Cleaned_Data!M262/Cleaned_Data!K262,0)</f>
        <v/>
      </c>
    </row>
    <row r="263">
      <c r="A263" s="10">
        <f>Raw_Data!A263</f>
        <v/>
      </c>
      <c r="B263" s="11">
        <f>Raw_Data!B263</f>
        <v/>
      </c>
      <c r="C263" s="11">
        <f>Raw_Data!C263</f>
        <v/>
      </c>
      <c r="D263" s="10">
        <f>Raw_Data!D263</f>
        <v/>
      </c>
      <c r="E263" s="10">
        <f>Raw_Data!E263</f>
        <v/>
      </c>
      <c r="F263" s="11">
        <f>Raw_Data!F263</f>
        <v/>
      </c>
      <c r="G263" s="11">
        <f>Raw_Data!G263</f>
        <v/>
      </c>
      <c r="H263" s="10">
        <f>Raw_Data!H263</f>
        <v/>
      </c>
      <c r="I263" s="10">
        <f>Raw_Data!I263</f>
        <v/>
      </c>
      <c r="J263" s="11">
        <f>Raw_Data!J263</f>
        <v/>
      </c>
      <c r="K263" s="11">
        <f>Raw_Data!K263</f>
        <v/>
      </c>
      <c r="L263" s="11">
        <f>Raw_Data!L263</f>
        <v/>
      </c>
      <c r="M263" s="10">
        <f>Raw_Data!M263</f>
        <v/>
      </c>
      <c r="N263" s="10">
        <f>Raw_Data!N263</f>
        <v/>
      </c>
      <c r="O263" s="10">
        <f>Raw_Data!O263</f>
        <v/>
      </c>
      <c r="P263" s="11">
        <f>Raw_Data!P263</f>
        <v/>
      </c>
      <c r="R263" s="9">
        <f>IFERROR(Cleaned_Data!M263/Cleaned_Data!K263,0)</f>
        <v/>
      </c>
    </row>
    <row r="264">
      <c r="A264" s="7">
        <f>Raw_Data!A264</f>
        <v/>
      </c>
      <c r="B264" s="8">
        <f>Raw_Data!B264</f>
        <v/>
      </c>
      <c r="C264" s="8">
        <f>Raw_Data!C264</f>
        <v/>
      </c>
      <c r="D264" s="7">
        <f>Raw_Data!D264</f>
        <v/>
      </c>
      <c r="E264" s="7">
        <f>Raw_Data!E264</f>
        <v/>
      </c>
      <c r="F264" s="8">
        <f>Raw_Data!F264</f>
        <v/>
      </c>
      <c r="G264" s="8">
        <f>Raw_Data!G264</f>
        <v/>
      </c>
      <c r="H264" s="7">
        <f>Raw_Data!H264</f>
        <v/>
      </c>
      <c r="I264" s="7">
        <f>Raw_Data!I264</f>
        <v/>
      </c>
      <c r="J264" s="8">
        <f>Raw_Data!J264</f>
        <v/>
      </c>
      <c r="K264" s="8">
        <f>Raw_Data!K264</f>
        <v/>
      </c>
      <c r="L264" s="8">
        <f>Raw_Data!L264</f>
        <v/>
      </c>
      <c r="M264" s="7">
        <f>Raw_Data!M264</f>
        <v/>
      </c>
      <c r="N264" s="7">
        <f>Raw_Data!N264</f>
        <v/>
      </c>
      <c r="O264" s="7">
        <f>Raw_Data!O264</f>
        <v/>
      </c>
      <c r="P264" s="8">
        <f>Raw_Data!P264</f>
        <v/>
      </c>
      <c r="R264" s="9">
        <f>IFERROR(Cleaned_Data!M264/Cleaned_Data!K264,0)</f>
        <v/>
      </c>
    </row>
    <row r="265">
      <c r="A265" s="10">
        <f>Raw_Data!A265</f>
        <v/>
      </c>
      <c r="B265" s="11">
        <f>Raw_Data!B265</f>
        <v/>
      </c>
      <c r="C265" s="11">
        <f>Raw_Data!C265</f>
        <v/>
      </c>
      <c r="D265" s="10">
        <f>Raw_Data!D265</f>
        <v/>
      </c>
      <c r="E265" s="10">
        <f>Raw_Data!E265</f>
        <v/>
      </c>
      <c r="F265" s="11">
        <f>Raw_Data!F265</f>
        <v/>
      </c>
      <c r="G265" s="11">
        <f>Raw_Data!G265</f>
        <v/>
      </c>
      <c r="H265" s="10">
        <f>Raw_Data!H265</f>
        <v/>
      </c>
      <c r="I265" s="10">
        <f>Raw_Data!I265</f>
        <v/>
      </c>
      <c r="J265" s="11">
        <f>Raw_Data!J265</f>
        <v/>
      </c>
      <c r="K265" s="11">
        <f>Raw_Data!K265</f>
        <v/>
      </c>
      <c r="L265" s="11">
        <f>Raw_Data!L265</f>
        <v/>
      </c>
      <c r="M265" s="10">
        <f>Raw_Data!M265</f>
        <v/>
      </c>
      <c r="N265" s="10">
        <f>Raw_Data!N265</f>
        <v/>
      </c>
      <c r="O265" s="10">
        <f>Raw_Data!O265</f>
        <v/>
      </c>
      <c r="P265" s="11">
        <f>Raw_Data!P265</f>
        <v/>
      </c>
      <c r="R265" s="9">
        <f>IFERROR(Cleaned_Data!M265/Cleaned_Data!K265,0)</f>
        <v/>
      </c>
    </row>
    <row r="266">
      <c r="A266" s="7">
        <f>Raw_Data!A266</f>
        <v/>
      </c>
      <c r="B266" s="8">
        <f>Raw_Data!B266</f>
        <v/>
      </c>
      <c r="C266" s="8">
        <f>Raw_Data!C266</f>
        <v/>
      </c>
      <c r="D266" s="7">
        <f>Raw_Data!D266</f>
        <v/>
      </c>
      <c r="E266" s="7">
        <f>Raw_Data!E266</f>
        <v/>
      </c>
      <c r="F266" s="8">
        <f>Raw_Data!F266</f>
        <v/>
      </c>
      <c r="G266" s="8">
        <f>Raw_Data!G266</f>
        <v/>
      </c>
      <c r="H266" s="7">
        <f>Raw_Data!H266</f>
        <v/>
      </c>
      <c r="I266" s="7">
        <f>Raw_Data!I266</f>
        <v/>
      </c>
      <c r="J266" s="8">
        <f>Raw_Data!J266</f>
        <v/>
      </c>
      <c r="K266" s="8">
        <f>Raw_Data!K266</f>
        <v/>
      </c>
      <c r="L266" s="8">
        <f>Raw_Data!L266</f>
        <v/>
      </c>
      <c r="M266" s="7">
        <f>Raw_Data!M266</f>
        <v/>
      </c>
      <c r="N266" s="7">
        <f>Raw_Data!N266</f>
        <v/>
      </c>
      <c r="O266" s="7">
        <f>Raw_Data!O266</f>
        <v/>
      </c>
      <c r="P266" s="8">
        <f>Raw_Data!P266</f>
        <v/>
      </c>
      <c r="R266" s="9">
        <f>IFERROR(Cleaned_Data!M266/Cleaned_Data!K266,0)</f>
        <v/>
      </c>
    </row>
    <row r="267">
      <c r="A267" s="10">
        <f>Raw_Data!A267</f>
        <v/>
      </c>
      <c r="B267" s="11">
        <f>Raw_Data!B267</f>
        <v/>
      </c>
      <c r="C267" s="11">
        <f>Raw_Data!C267</f>
        <v/>
      </c>
      <c r="D267" s="10">
        <f>Raw_Data!D267</f>
        <v/>
      </c>
      <c r="E267" s="10">
        <f>Raw_Data!E267</f>
        <v/>
      </c>
      <c r="F267" s="11">
        <f>Raw_Data!F267</f>
        <v/>
      </c>
      <c r="G267" s="11">
        <f>Raw_Data!G267</f>
        <v/>
      </c>
      <c r="H267" s="10">
        <f>Raw_Data!H267</f>
        <v/>
      </c>
      <c r="I267" s="10">
        <f>Raw_Data!I267</f>
        <v/>
      </c>
      <c r="J267" s="11">
        <f>Raw_Data!J267</f>
        <v/>
      </c>
      <c r="K267" s="11">
        <f>Raw_Data!K267</f>
        <v/>
      </c>
      <c r="L267" s="11">
        <f>Raw_Data!L267</f>
        <v/>
      </c>
      <c r="M267" s="10">
        <f>Raw_Data!M267</f>
        <v/>
      </c>
      <c r="N267" s="10">
        <f>Raw_Data!N267</f>
        <v/>
      </c>
      <c r="O267" s="10">
        <f>Raw_Data!O267</f>
        <v/>
      </c>
      <c r="P267" s="11">
        <f>Raw_Data!P267</f>
        <v/>
      </c>
      <c r="R267" s="9">
        <f>IFERROR(Cleaned_Data!M267/Cleaned_Data!K267,0)</f>
        <v/>
      </c>
    </row>
    <row r="268">
      <c r="A268" s="7">
        <f>Raw_Data!A268</f>
        <v/>
      </c>
      <c r="B268" s="8">
        <f>Raw_Data!B268</f>
        <v/>
      </c>
      <c r="C268" s="8">
        <f>Raw_Data!C268</f>
        <v/>
      </c>
      <c r="D268" s="7">
        <f>Raw_Data!D268</f>
        <v/>
      </c>
      <c r="E268" s="7">
        <f>Raw_Data!E268</f>
        <v/>
      </c>
      <c r="F268" s="8">
        <f>Raw_Data!F268</f>
        <v/>
      </c>
      <c r="G268" s="8">
        <f>Raw_Data!G268</f>
        <v/>
      </c>
      <c r="H268" s="7">
        <f>Raw_Data!H268</f>
        <v/>
      </c>
      <c r="I268" s="7">
        <f>Raw_Data!I268</f>
        <v/>
      </c>
      <c r="J268" s="8">
        <f>Raw_Data!J268</f>
        <v/>
      </c>
      <c r="K268" s="8">
        <f>Raw_Data!K268</f>
        <v/>
      </c>
      <c r="L268" s="8">
        <f>Raw_Data!L268</f>
        <v/>
      </c>
      <c r="M268" s="7">
        <f>Raw_Data!M268</f>
        <v/>
      </c>
      <c r="N268" s="7">
        <f>Raw_Data!N268</f>
        <v/>
      </c>
      <c r="O268" s="7">
        <f>Raw_Data!O268</f>
        <v/>
      </c>
      <c r="P268" s="8">
        <f>Raw_Data!P268</f>
        <v/>
      </c>
      <c r="R268" s="9">
        <f>IFERROR(Cleaned_Data!M268/Cleaned_Data!K268,0)</f>
        <v/>
      </c>
    </row>
    <row r="269">
      <c r="A269" s="10">
        <f>Raw_Data!A269</f>
        <v/>
      </c>
      <c r="B269" s="11">
        <f>Raw_Data!B269</f>
        <v/>
      </c>
      <c r="C269" s="11">
        <f>Raw_Data!C269</f>
        <v/>
      </c>
      <c r="D269" s="10">
        <f>Raw_Data!D269</f>
        <v/>
      </c>
      <c r="E269" s="10">
        <f>Raw_Data!E269</f>
        <v/>
      </c>
      <c r="F269" s="11">
        <f>Raw_Data!F269</f>
        <v/>
      </c>
      <c r="G269" s="11">
        <f>Raw_Data!G269</f>
        <v/>
      </c>
      <c r="H269" s="10">
        <f>Raw_Data!H269</f>
        <v/>
      </c>
      <c r="I269" s="10">
        <f>Raw_Data!I269</f>
        <v/>
      </c>
      <c r="J269" s="11">
        <f>Raw_Data!J269</f>
        <v/>
      </c>
      <c r="K269" s="11">
        <f>Raw_Data!K269</f>
        <v/>
      </c>
      <c r="L269" s="11">
        <f>Raw_Data!L269</f>
        <v/>
      </c>
      <c r="M269" s="10">
        <f>Raw_Data!M269</f>
        <v/>
      </c>
      <c r="N269" s="10">
        <f>Raw_Data!N269</f>
        <v/>
      </c>
      <c r="O269" s="10">
        <f>Raw_Data!O269</f>
        <v/>
      </c>
      <c r="P269" s="11">
        <f>Raw_Data!P269</f>
        <v/>
      </c>
      <c r="R269" s="9">
        <f>IFERROR(Cleaned_Data!M269/Cleaned_Data!K269,0)</f>
        <v/>
      </c>
    </row>
    <row r="270">
      <c r="A270" s="7">
        <f>Raw_Data!A270</f>
        <v/>
      </c>
      <c r="B270" s="8">
        <f>Raw_Data!B270</f>
        <v/>
      </c>
      <c r="C270" s="8">
        <f>Raw_Data!C270</f>
        <v/>
      </c>
      <c r="D270" s="7">
        <f>Raw_Data!D270</f>
        <v/>
      </c>
      <c r="E270" s="7">
        <f>Raw_Data!E270</f>
        <v/>
      </c>
      <c r="F270" s="8">
        <f>Raw_Data!F270</f>
        <v/>
      </c>
      <c r="G270" s="8">
        <f>Raw_Data!G270</f>
        <v/>
      </c>
      <c r="H270" s="7">
        <f>Raw_Data!H270</f>
        <v/>
      </c>
      <c r="I270" s="7">
        <f>Raw_Data!I270</f>
        <v/>
      </c>
      <c r="J270" s="8">
        <f>Raw_Data!J270</f>
        <v/>
      </c>
      <c r="K270" s="8">
        <f>Raw_Data!K270</f>
        <v/>
      </c>
      <c r="L270" s="8">
        <f>Raw_Data!L270</f>
        <v/>
      </c>
      <c r="M270" s="7">
        <f>Raw_Data!M270</f>
        <v/>
      </c>
      <c r="N270" s="7">
        <f>Raw_Data!N270</f>
        <v/>
      </c>
      <c r="O270" s="7">
        <f>Raw_Data!O270</f>
        <v/>
      </c>
      <c r="P270" s="8">
        <f>Raw_Data!P270</f>
        <v/>
      </c>
      <c r="R270" s="9">
        <f>IFERROR(Cleaned_Data!M270/Cleaned_Data!K270,0)</f>
        <v/>
      </c>
    </row>
    <row r="271">
      <c r="A271" s="10">
        <f>Raw_Data!A271</f>
        <v/>
      </c>
      <c r="B271" s="11">
        <f>Raw_Data!B271</f>
        <v/>
      </c>
      <c r="C271" s="11">
        <f>Raw_Data!C271</f>
        <v/>
      </c>
      <c r="D271" s="10">
        <f>Raw_Data!D271</f>
        <v/>
      </c>
      <c r="E271" s="10">
        <f>Raw_Data!E271</f>
        <v/>
      </c>
      <c r="F271" s="11">
        <f>Raw_Data!F271</f>
        <v/>
      </c>
      <c r="G271" s="11">
        <f>Raw_Data!G271</f>
        <v/>
      </c>
      <c r="H271" s="10">
        <f>Raw_Data!H271</f>
        <v/>
      </c>
      <c r="I271" s="10">
        <f>Raw_Data!I271</f>
        <v/>
      </c>
      <c r="J271" s="11">
        <f>Raw_Data!J271</f>
        <v/>
      </c>
      <c r="K271" s="11">
        <f>Raw_Data!K271</f>
        <v/>
      </c>
      <c r="L271" s="11">
        <f>Raw_Data!L271</f>
        <v/>
      </c>
      <c r="M271" s="10">
        <f>Raw_Data!M271</f>
        <v/>
      </c>
      <c r="N271" s="10">
        <f>Raw_Data!N271</f>
        <v/>
      </c>
      <c r="O271" s="10">
        <f>Raw_Data!O271</f>
        <v/>
      </c>
      <c r="P271" s="11">
        <f>Raw_Data!P271</f>
        <v/>
      </c>
      <c r="R271" s="9">
        <f>IFERROR(Cleaned_Data!M271/Cleaned_Data!K271,0)</f>
        <v/>
      </c>
    </row>
    <row r="272">
      <c r="A272" s="7">
        <f>Raw_Data!A272</f>
        <v/>
      </c>
      <c r="B272" s="8">
        <f>Raw_Data!B272</f>
        <v/>
      </c>
      <c r="C272" s="8">
        <f>Raw_Data!C272</f>
        <v/>
      </c>
      <c r="D272" s="7">
        <f>Raw_Data!D272</f>
        <v/>
      </c>
      <c r="E272" s="7">
        <f>Raw_Data!E272</f>
        <v/>
      </c>
      <c r="F272" s="8">
        <f>Raw_Data!F272</f>
        <v/>
      </c>
      <c r="G272" s="8">
        <f>Raw_Data!G272</f>
        <v/>
      </c>
      <c r="H272" s="7">
        <f>Raw_Data!H272</f>
        <v/>
      </c>
      <c r="I272" s="7">
        <f>Raw_Data!I272</f>
        <v/>
      </c>
      <c r="J272" s="8">
        <f>Raw_Data!J272</f>
        <v/>
      </c>
      <c r="K272" s="8">
        <f>Raw_Data!K272</f>
        <v/>
      </c>
      <c r="L272" s="8">
        <f>Raw_Data!L272</f>
        <v/>
      </c>
      <c r="M272" s="7">
        <f>Raw_Data!M272</f>
        <v/>
      </c>
      <c r="N272" s="7">
        <f>Raw_Data!N272</f>
        <v/>
      </c>
      <c r="O272" s="7">
        <f>Raw_Data!O272</f>
        <v/>
      </c>
      <c r="P272" s="8">
        <f>Raw_Data!P272</f>
        <v/>
      </c>
      <c r="R272" s="9">
        <f>IFERROR(Cleaned_Data!M272/Cleaned_Data!K272,0)</f>
        <v/>
      </c>
    </row>
    <row r="273">
      <c r="A273" s="10">
        <f>Raw_Data!A273</f>
        <v/>
      </c>
      <c r="B273" s="11">
        <f>Raw_Data!B273</f>
        <v/>
      </c>
      <c r="C273" s="11">
        <f>Raw_Data!C273</f>
        <v/>
      </c>
      <c r="D273" s="10">
        <f>Raw_Data!D273</f>
        <v/>
      </c>
      <c r="E273" s="10">
        <f>Raw_Data!E273</f>
        <v/>
      </c>
      <c r="F273" s="11">
        <f>Raw_Data!F273</f>
        <v/>
      </c>
      <c r="G273" s="11">
        <f>Raw_Data!G273</f>
        <v/>
      </c>
      <c r="H273" s="10">
        <f>Raw_Data!H273</f>
        <v/>
      </c>
      <c r="I273" s="10">
        <f>Raw_Data!I273</f>
        <v/>
      </c>
      <c r="J273" s="11">
        <f>Raw_Data!J273</f>
        <v/>
      </c>
      <c r="K273" s="11">
        <f>Raw_Data!K273</f>
        <v/>
      </c>
      <c r="L273" s="11">
        <f>Raw_Data!L273</f>
        <v/>
      </c>
      <c r="M273" s="10">
        <f>Raw_Data!M273</f>
        <v/>
      </c>
      <c r="N273" s="10">
        <f>Raw_Data!N273</f>
        <v/>
      </c>
      <c r="O273" s="10">
        <f>Raw_Data!O273</f>
        <v/>
      </c>
      <c r="P273" s="11">
        <f>Raw_Data!P273</f>
        <v/>
      </c>
      <c r="R273" s="9">
        <f>IFERROR(Cleaned_Data!M273/Cleaned_Data!K273,0)</f>
        <v/>
      </c>
    </row>
    <row r="274">
      <c r="A274" s="7">
        <f>Raw_Data!A274</f>
        <v/>
      </c>
      <c r="B274" s="8">
        <f>Raw_Data!B274</f>
        <v/>
      </c>
      <c r="C274" s="8">
        <f>Raw_Data!C274</f>
        <v/>
      </c>
      <c r="D274" s="7">
        <f>Raw_Data!D274</f>
        <v/>
      </c>
      <c r="E274" s="7">
        <f>Raw_Data!E274</f>
        <v/>
      </c>
      <c r="F274" s="8">
        <f>Raw_Data!F274</f>
        <v/>
      </c>
      <c r="G274" s="8">
        <f>Raw_Data!G274</f>
        <v/>
      </c>
      <c r="H274" s="7">
        <f>Raw_Data!H274</f>
        <v/>
      </c>
      <c r="I274" s="7">
        <f>Raw_Data!I274</f>
        <v/>
      </c>
      <c r="J274" s="8">
        <f>Raw_Data!J274</f>
        <v/>
      </c>
      <c r="K274" s="8">
        <f>Raw_Data!K274</f>
        <v/>
      </c>
      <c r="L274" s="8">
        <f>Raw_Data!L274</f>
        <v/>
      </c>
      <c r="M274" s="7">
        <f>Raw_Data!M274</f>
        <v/>
      </c>
      <c r="N274" s="7">
        <f>Raw_Data!N274</f>
        <v/>
      </c>
      <c r="O274" s="7">
        <f>Raw_Data!O274</f>
        <v/>
      </c>
      <c r="P274" s="8">
        <f>Raw_Data!P274</f>
        <v/>
      </c>
      <c r="R274" s="9">
        <f>IFERROR(Cleaned_Data!M274/Cleaned_Data!K274,0)</f>
        <v/>
      </c>
    </row>
    <row r="275">
      <c r="A275" s="10">
        <f>Raw_Data!A275</f>
        <v/>
      </c>
      <c r="B275" s="11">
        <f>Raw_Data!B275</f>
        <v/>
      </c>
      <c r="C275" s="11">
        <f>Raw_Data!C275</f>
        <v/>
      </c>
      <c r="D275" s="10">
        <f>Raw_Data!D275</f>
        <v/>
      </c>
      <c r="E275" s="10">
        <f>Raw_Data!E275</f>
        <v/>
      </c>
      <c r="F275" s="11">
        <f>Raw_Data!F275</f>
        <v/>
      </c>
      <c r="G275" s="11">
        <f>Raw_Data!G275</f>
        <v/>
      </c>
      <c r="H275" s="10">
        <f>Raw_Data!H275</f>
        <v/>
      </c>
      <c r="I275" s="10">
        <f>Raw_Data!I275</f>
        <v/>
      </c>
      <c r="J275" s="11">
        <f>Raw_Data!J275</f>
        <v/>
      </c>
      <c r="K275" s="11">
        <f>Raw_Data!K275</f>
        <v/>
      </c>
      <c r="L275" s="11">
        <f>Raw_Data!L275</f>
        <v/>
      </c>
      <c r="M275" s="10">
        <f>Raw_Data!M275</f>
        <v/>
      </c>
      <c r="N275" s="10">
        <f>Raw_Data!N275</f>
        <v/>
      </c>
      <c r="O275" s="10">
        <f>Raw_Data!O275</f>
        <v/>
      </c>
      <c r="P275" s="11">
        <f>Raw_Data!P275</f>
        <v/>
      </c>
      <c r="R275" s="9">
        <f>IFERROR(Cleaned_Data!M275/Cleaned_Data!K275,0)</f>
        <v/>
      </c>
    </row>
    <row r="276">
      <c r="A276" s="7">
        <f>Raw_Data!A276</f>
        <v/>
      </c>
      <c r="B276" s="8">
        <f>Raw_Data!B276</f>
        <v/>
      </c>
      <c r="C276" s="8">
        <f>Raw_Data!C276</f>
        <v/>
      </c>
      <c r="D276" s="7">
        <f>Raw_Data!D276</f>
        <v/>
      </c>
      <c r="E276" s="7">
        <f>Raw_Data!E276</f>
        <v/>
      </c>
      <c r="F276" s="8">
        <f>Raw_Data!F276</f>
        <v/>
      </c>
      <c r="G276" s="8">
        <f>Raw_Data!G276</f>
        <v/>
      </c>
      <c r="H276" s="7">
        <f>Raw_Data!H276</f>
        <v/>
      </c>
      <c r="I276" s="7">
        <f>Raw_Data!I276</f>
        <v/>
      </c>
      <c r="J276" s="8">
        <f>Raw_Data!J276</f>
        <v/>
      </c>
      <c r="K276" s="8">
        <f>Raw_Data!K276</f>
        <v/>
      </c>
      <c r="L276" s="8">
        <f>Raw_Data!L276</f>
        <v/>
      </c>
      <c r="M276" s="7">
        <f>Raw_Data!M276</f>
        <v/>
      </c>
      <c r="N276" s="7">
        <f>Raw_Data!N276</f>
        <v/>
      </c>
      <c r="O276" s="7">
        <f>Raw_Data!O276</f>
        <v/>
      </c>
      <c r="P276" s="8">
        <f>Raw_Data!P276</f>
        <v/>
      </c>
      <c r="R276" s="9">
        <f>IFERROR(Cleaned_Data!M276/Cleaned_Data!K276,0)</f>
        <v/>
      </c>
    </row>
    <row r="277">
      <c r="A277" s="10">
        <f>Raw_Data!A277</f>
        <v/>
      </c>
      <c r="B277" s="11">
        <f>Raw_Data!B277</f>
        <v/>
      </c>
      <c r="C277" s="11">
        <f>Raw_Data!C277</f>
        <v/>
      </c>
      <c r="D277" s="10">
        <f>Raw_Data!D277</f>
        <v/>
      </c>
      <c r="E277" s="10">
        <f>Raw_Data!E277</f>
        <v/>
      </c>
      <c r="F277" s="11">
        <f>Raw_Data!F277</f>
        <v/>
      </c>
      <c r="G277" s="11">
        <f>Raw_Data!G277</f>
        <v/>
      </c>
      <c r="H277" s="10">
        <f>Raw_Data!H277</f>
        <v/>
      </c>
      <c r="I277" s="10">
        <f>Raw_Data!I277</f>
        <v/>
      </c>
      <c r="J277" s="11">
        <f>Raw_Data!J277</f>
        <v/>
      </c>
      <c r="K277" s="11">
        <f>Raw_Data!K277</f>
        <v/>
      </c>
      <c r="L277" s="11">
        <f>Raw_Data!L277</f>
        <v/>
      </c>
      <c r="M277" s="10">
        <f>Raw_Data!M277</f>
        <v/>
      </c>
      <c r="N277" s="10">
        <f>Raw_Data!N277</f>
        <v/>
      </c>
      <c r="O277" s="10">
        <f>Raw_Data!O277</f>
        <v/>
      </c>
      <c r="P277" s="11">
        <f>Raw_Data!P277</f>
        <v/>
      </c>
      <c r="R277" s="9">
        <f>IFERROR(Cleaned_Data!M277/Cleaned_Data!K277,0)</f>
        <v/>
      </c>
    </row>
    <row r="278">
      <c r="A278" s="7">
        <f>Raw_Data!A278</f>
        <v/>
      </c>
      <c r="B278" s="8">
        <f>Raw_Data!B278</f>
        <v/>
      </c>
      <c r="C278" s="8">
        <f>Raw_Data!C278</f>
        <v/>
      </c>
      <c r="D278" s="7">
        <f>Raw_Data!D278</f>
        <v/>
      </c>
      <c r="E278" s="7">
        <f>Raw_Data!E278</f>
        <v/>
      </c>
      <c r="F278" s="8">
        <f>Raw_Data!F278</f>
        <v/>
      </c>
      <c r="G278" s="8">
        <f>Raw_Data!G278</f>
        <v/>
      </c>
      <c r="H278" s="7">
        <f>Raw_Data!H278</f>
        <v/>
      </c>
      <c r="I278" s="7">
        <f>Raw_Data!I278</f>
        <v/>
      </c>
      <c r="J278" s="8">
        <f>Raw_Data!J278</f>
        <v/>
      </c>
      <c r="K278" s="8">
        <f>Raw_Data!K278</f>
        <v/>
      </c>
      <c r="L278" s="8">
        <f>Raw_Data!L278</f>
        <v/>
      </c>
      <c r="M278" s="7">
        <f>Raw_Data!M278</f>
        <v/>
      </c>
      <c r="N278" s="7">
        <f>Raw_Data!N278</f>
        <v/>
      </c>
      <c r="O278" s="7">
        <f>Raw_Data!O278</f>
        <v/>
      </c>
      <c r="P278" s="8">
        <f>Raw_Data!P278</f>
        <v/>
      </c>
      <c r="R278" s="9">
        <f>IFERROR(Cleaned_Data!M278/Cleaned_Data!K278,0)</f>
        <v/>
      </c>
    </row>
    <row r="279">
      <c r="A279" s="10">
        <f>Raw_Data!A279</f>
        <v/>
      </c>
      <c r="B279" s="11">
        <f>Raw_Data!B279</f>
        <v/>
      </c>
      <c r="C279" s="11">
        <f>Raw_Data!C279</f>
        <v/>
      </c>
      <c r="D279" s="10">
        <f>Raw_Data!D279</f>
        <v/>
      </c>
      <c r="E279" s="10">
        <f>Raw_Data!E279</f>
        <v/>
      </c>
      <c r="F279" s="11">
        <f>Raw_Data!F279</f>
        <v/>
      </c>
      <c r="G279" s="11">
        <f>Raw_Data!G279</f>
        <v/>
      </c>
      <c r="H279" s="10">
        <f>Raw_Data!H279</f>
        <v/>
      </c>
      <c r="I279" s="10">
        <f>Raw_Data!I279</f>
        <v/>
      </c>
      <c r="J279" s="11">
        <f>Raw_Data!J279</f>
        <v/>
      </c>
      <c r="K279" s="11">
        <f>Raw_Data!K279</f>
        <v/>
      </c>
      <c r="L279" s="11">
        <f>Raw_Data!L279</f>
        <v/>
      </c>
      <c r="M279" s="10">
        <f>Raw_Data!M279</f>
        <v/>
      </c>
      <c r="N279" s="10">
        <f>Raw_Data!N279</f>
        <v/>
      </c>
      <c r="O279" s="10">
        <f>Raw_Data!O279</f>
        <v/>
      </c>
      <c r="P279" s="11">
        <f>Raw_Data!P279</f>
        <v/>
      </c>
      <c r="R279" s="9">
        <f>IFERROR(Cleaned_Data!M279/Cleaned_Data!K279,0)</f>
        <v/>
      </c>
    </row>
    <row r="280">
      <c r="A280" s="7">
        <f>Raw_Data!A280</f>
        <v/>
      </c>
      <c r="B280" s="8">
        <f>Raw_Data!B280</f>
        <v/>
      </c>
      <c r="C280" s="8">
        <f>Raw_Data!C280</f>
        <v/>
      </c>
      <c r="D280" s="7">
        <f>Raw_Data!D280</f>
        <v/>
      </c>
      <c r="E280" s="7">
        <f>Raw_Data!E280</f>
        <v/>
      </c>
      <c r="F280" s="8">
        <f>Raw_Data!F280</f>
        <v/>
      </c>
      <c r="G280" s="8">
        <f>Raw_Data!G280</f>
        <v/>
      </c>
      <c r="H280" s="7">
        <f>Raw_Data!H280</f>
        <v/>
      </c>
      <c r="I280" s="7">
        <f>Raw_Data!I280</f>
        <v/>
      </c>
      <c r="J280" s="8">
        <f>Raw_Data!J280</f>
        <v/>
      </c>
      <c r="K280" s="8">
        <f>Raw_Data!K280</f>
        <v/>
      </c>
      <c r="L280" s="8">
        <f>Raw_Data!L280</f>
        <v/>
      </c>
      <c r="M280" s="7">
        <f>Raw_Data!M280</f>
        <v/>
      </c>
      <c r="N280" s="7">
        <f>Raw_Data!N280</f>
        <v/>
      </c>
      <c r="O280" s="7">
        <f>Raw_Data!O280</f>
        <v/>
      </c>
      <c r="P280" s="8">
        <f>Raw_Data!P280</f>
        <v/>
      </c>
      <c r="R280" s="9">
        <f>IFERROR(Cleaned_Data!M280/Cleaned_Data!K280,0)</f>
        <v/>
      </c>
    </row>
    <row r="281">
      <c r="A281" s="10">
        <f>Raw_Data!A281</f>
        <v/>
      </c>
      <c r="B281" s="11">
        <f>Raw_Data!B281</f>
        <v/>
      </c>
      <c r="C281" s="11">
        <f>Raw_Data!C281</f>
        <v/>
      </c>
      <c r="D281" s="10">
        <f>Raw_Data!D281</f>
        <v/>
      </c>
      <c r="E281" s="10">
        <f>Raw_Data!E281</f>
        <v/>
      </c>
      <c r="F281" s="11">
        <f>Raw_Data!F281</f>
        <v/>
      </c>
      <c r="G281" s="11">
        <f>Raw_Data!G281</f>
        <v/>
      </c>
      <c r="H281" s="10">
        <f>Raw_Data!H281</f>
        <v/>
      </c>
      <c r="I281" s="10">
        <f>Raw_Data!I281</f>
        <v/>
      </c>
      <c r="J281" s="11">
        <f>Raw_Data!J281</f>
        <v/>
      </c>
      <c r="K281" s="11">
        <f>Raw_Data!K281</f>
        <v/>
      </c>
      <c r="L281" s="11">
        <f>Raw_Data!L281</f>
        <v/>
      </c>
      <c r="M281" s="10">
        <f>Raw_Data!M281</f>
        <v/>
      </c>
      <c r="N281" s="10">
        <f>Raw_Data!N281</f>
        <v/>
      </c>
      <c r="O281" s="10">
        <f>Raw_Data!O281</f>
        <v/>
      </c>
      <c r="P281" s="11">
        <f>Raw_Data!P281</f>
        <v/>
      </c>
      <c r="R281" s="9">
        <f>IFERROR(Cleaned_Data!M281/Cleaned_Data!K281,0)</f>
        <v/>
      </c>
    </row>
    <row r="282">
      <c r="A282" s="7">
        <f>Raw_Data!A282</f>
        <v/>
      </c>
      <c r="B282" s="8">
        <f>Raw_Data!B282</f>
        <v/>
      </c>
      <c r="C282" s="8">
        <f>Raw_Data!C282</f>
        <v/>
      </c>
      <c r="D282" s="7">
        <f>Raw_Data!D282</f>
        <v/>
      </c>
      <c r="E282" s="7">
        <f>Raw_Data!E282</f>
        <v/>
      </c>
      <c r="F282" s="8">
        <f>Raw_Data!F282</f>
        <v/>
      </c>
      <c r="G282" s="8">
        <f>Raw_Data!G282</f>
        <v/>
      </c>
      <c r="H282" s="7">
        <f>Raw_Data!H282</f>
        <v/>
      </c>
      <c r="I282" s="7">
        <f>Raw_Data!I282</f>
        <v/>
      </c>
      <c r="J282" s="8">
        <f>Raw_Data!J282</f>
        <v/>
      </c>
      <c r="K282" s="8">
        <f>Raw_Data!K282</f>
        <v/>
      </c>
      <c r="L282" s="8">
        <f>Raw_Data!L282</f>
        <v/>
      </c>
      <c r="M282" s="7">
        <f>Raw_Data!M282</f>
        <v/>
      </c>
      <c r="N282" s="7">
        <f>Raw_Data!N282</f>
        <v/>
      </c>
      <c r="O282" s="7">
        <f>Raw_Data!O282</f>
        <v/>
      </c>
      <c r="P282" s="8">
        <f>Raw_Data!P282</f>
        <v/>
      </c>
      <c r="R282" s="9">
        <f>IFERROR(Cleaned_Data!M282/Cleaned_Data!K282,0)</f>
        <v/>
      </c>
    </row>
    <row r="283">
      <c r="A283" s="10">
        <f>Raw_Data!A283</f>
        <v/>
      </c>
      <c r="B283" s="11">
        <f>Raw_Data!B283</f>
        <v/>
      </c>
      <c r="C283" s="11">
        <f>Raw_Data!C283</f>
        <v/>
      </c>
      <c r="D283" s="10">
        <f>Raw_Data!D283</f>
        <v/>
      </c>
      <c r="E283" s="10">
        <f>Raw_Data!E283</f>
        <v/>
      </c>
      <c r="F283" s="11">
        <f>Raw_Data!F283</f>
        <v/>
      </c>
      <c r="G283" s="11">
        <f>Raw_Data!G283</f>
        <v/>
      </c>
      <c r="H283" s="10">
        <f>Raw_Data!H283</f>
        <v/>
      </c>
      <c r="I283" s="10">
        <f>Raw_Data!I283</f>
        <v/>
      </c>
      <c r="J283" s="11">
        <f>Raw_Data!J283</f>
        <v/>
      </c>
      <c r="K283" s="11">
        <f>Raw_Data!K283</f>
        <v/>
      </c>
      <c r="L283" s="11">
        <f>Raw_Data!L283</f>
        <v/>
      </c>
      <c r="M283" s="10">
        <f>Raw_Data!M283</f>
        <v/>
      </c>
      <c r="N283" s="10">
        <f>Raw_Data!N283</f>
        <v/>
      </c>
      <c r="O283" s="10">
        <f>Raw_Data!O283</f>
        <v/>
      </c>
      <c r="P283" s="11">
        <f>Raw_Data!P283</f>
        <v/>
      </c>
      <c r="R283" s="9">
        <f>IFERROR(Cleaned_Data!M283/Cleaned_Data!K283,0)</f>
        <v/>
      </c>
    </row>
    <row r="284">
      <c r="A284" s="7">
        <f>Raw_Data!A284</f>
        <v/>
      </c>
      <c r="B284" s="8">
        <f>Raw_Data!B284</f>
        <v/>
      </c>
      <c r="C284" s="8">
        <f>Raw_Data!C284</f>
        <v/>
      </c>
      <c r="D284" s="7">
        <f>Raw_Data!D284</f>
        <v/>
      </c>
      <c r="E284" s="7">
        <f>Raw_Data!E284</f>
        <v/>
      </c>
      <c r="F284" s="8">
        <f>Raw_Data!F284</f>
        <v/>
      </c>
      <c r="G284" s="8">
        <f>Raw_Data!G284</f>
        <v/>
      </c>
      <c r="H284" s="7">
        <f>Raw_Data!H284</f>
        <v/>
      </c>
      <c r="I284" s="7">
        <f>Raw_Data!I284</f>
        <v/>
      </c>
      <c r="J284" s="8">
        <f>Raw_Data!J284</f>
        <v/>
      </c>
      <c r="K284" s="8">
        <f>Raw_Data!K284</f>
        <v/>
      </c>
      <c r="L284" s="8">
        <f>Raw_Data!L284</f>
        <v/>
      </c>
      <c r="M284" s="7">
        <f>Raw_Data!M284</f>
        <v/>
      </c>
      <c r="N284" s="7">
        <f>Raw_Data!N284</f>
        <v/>
      </c>
      <c r="O284" s="7">
        <f>Raw_Data!O284</f>
        <v/>
      </c>
      <c r="P284" s="8">
        <f>Raw_Data!P284</f>
        <v/>
      </c>
      <c r="R284" s="9">
        <f>IFERROR(Cleaned_Data!M284/Cleaned_Data!K284,0)</f>
        <v/>
      </c>
    </row>
    <row r="285">
      <c r="A285" s="10">
        <f>Raw_Data!A285</f>
        <v/>
      </c>
      <c r="B285" s="11">
        <f>Raw_Data!B285</f>
        <v/>
      </c>
      <c r="C285" s="11">
        <f>Raw_Data!C285</f>
        <v/>
      </c>
      <c r="D285" s="10">
        <f>Raw_Data!D285</f>
        <v/>
      </c>
      <c r="E285" s="10">
        <f>Raw_Data!E285</f>
        <v/>
      </c>
      <c r="F285" s="11">
        <f>Raw_Data!F285</f>
        <v/>
      </c>
      <c r="G285" s="11">
        <f>Raw_Data!G285</f>
        <v/>
      </c>
      <c r="H285" s="10">
        <f>Raw_Data!H285</f>
        <v/>
      </c>
      <c r="I285" s="10">
        <f>Raw_Data!I285</f>
        <v/>
      </c>
      <c r="J285" s="11">
        <f>Raw_Data!J285</f>
        <v/>
      </c>
      <c r="K285" s="11">
        <f>Raw_Data!K285</f>
        <v/>
      </c>
      <c r="L285" s="11">
        <f>Raw_Data!L285</f>
        <v/>
      </c>
      <c r="M285" s="10">
        <f>Raw_Data!M285</f>
        <v/>
      </c>
      <c r="N285" s="10">
        <f>Raw_Data!N285</f>
        <v/>
      </c>
      <c r="O285" s="10">
        <f>Raw_Data!O285</f>
        <v/>
      </c>
      <c r="P285" s="11">
        <f>Raw_Data!P285</f>
        <v/>
      </c>
      <c r="R285" s="9">
        <f>IFERROR(Cleaned_Data!M285/Cleaned_Data!K285,0)</f>
        <v/>
      </c>
    </row>
    <row r="286">
      <c r="A286" s="7">
        <f>Raw_Data!A286</f>
        <v/>
      </c>
      <c r="B286" s="8">
        <f>Raw_Data!B286</f>
        <v/>
      </c>
      <c r="C286" s="8">
        <f>Raw_Data!C286</f>
        <v/>
      </c>
      <c r="D286" s="7">
        <f>Raw_Data!D286</f>
        <v/>
      </c>
      <c r="E286" s="7">
        <f>Raw_Data!E286</f>
        <v/>
      </c>
      <c r="F286" s="8">
        <f>Raw_Data!F286</f>
        <v/>
      </c>
      <c r="G286" s="8">
        <f>Raw_Data!G286</f>
        <v/>
      </c>
      <c r="H286" s="7">
        <f>Raw_Data!H286</f>
        <v/>
      </c>
      <c r="I286" s="7">
        <f>Raw_Data!I286</f>
        <v/>
      </c>
      <c r="J286" s="8">
        <f>Raw_Data!J286</f>
        <v/>
      </c>
      <c r="K286" s="8">
        <f>Raw_Data!K286</f>
        <v/>
      </c>
      <c r="L286" s="8">
        <f>Raw_Data!L286</f>
        <v/>
      </c>
      <c r="M286" s="7">
        <f>Raw_Data!M286</f>
        <v/>
      </c>
      <c r="N286" s="7">
        <f>Raw_Data!N286</f>
        <v/>
      </c>
      <c r="O286" s="7">
        <f>Raw_Data!O286</f>
        <v/>
      </c>
      <c r="P286" s="8">
        <f>Raw_Data!P286</f>
        <v/>
      </c>
      <c r="R286" s="9">
        <f>IFERROR(Cleaned_Data!M286/Cleaned_Data!K286,0)</f>
        <v/>
      </c>
    </row>
    <row r="287">
      <c r="A287" s="10">
        <f>Raw_Data!A287</f>
        <v/>
      </c>
      <c r="B287" s="11">
        <f>Raw_Data!B287</f>
        <v/>
      </c>
      <c r="C287" s="11">
        <f>Raw_Data!C287</f>
        <v/>
      </c>
      <c r="D287" s="10">
        <f>Raw_Data!D287</f>
        <v/>
      </c>
      <c r="E287" s="10">
        <f>Raw_Data!E287</f>
        <v/>
      </c>
      <c r="F287" s="11">
        <f>Raw_Data!F287</f>
        <v/>
      </c>
      <c r="G287" s="11">
        <f>Raw_Data!G287</f>
        <v/>
      </c>
      <c r="H287" s="10">
        <f>Raw_Data!H287</f>
        <v/>
      </c>
      <c r="I287" s="10">
        <f>Raw_Data!I287</f>
        <v/>
      </c>
      <c r="J287" s="11">
        <f>Raw_Data!J287</f>
        <v/>
      </c>
      <c r="K287" s="11">
        <f>Raw_Data!K287</f>
        <v/>
      </c>
      <c r="L287" s="11">
        <f>Raw_Data!L287</f>
        <v/>
      </c>
      <c r="M287" s="10">
        <f>Raw_Data!M287</f>
        <v/>
      </c>
      <c r="N287" s="10">
        <f>Raw_Data!N287</f>
        <v/>
      </c>
      <c r="O287" s="10">
        <f>Raw_Data!O287</f>
        <v/>
      </c>
      <c r="P287" s="11">
        <f>Raw_Data!P287</f>
        <v/>
      </c>
      <c r="R287" s="9">
        <f>IFERROR(Cleaned_Data!M287/Cleaned_Data!K287,0)</f>
        <v/>
      </c>
    </row>
    <row r="288">
      <c r="A288" s="7">
        <f>Raw_Data!A288</f>
        <v/>
      </c>
      <c r="B288" s="8">
        <f>Raw_Data!B288</f>
        <v/>
      </c>
      <c r="C288" s="8">
        <f>Raw_Data!C288</f>
        <v/>
      </c>
      <c r="D288" s="7">
        <f>Raw_Data!D288</f>
        <v/>
      </c>
      <c r="E288" s="7">
        <f>Raw_Data!E288</f>
        <v/>
      </c>
      <c r="F288" s="8">
        <f>Raw_Data!F288</f>
        <v/>
      </c>
      <c r="G288" s="8">
        <f>Raw_Data!G288</f>
        <v/>
      </c>
      <c r="H288" s="7">
        <f>Raw_Data!H288</f>
        <v/>
      </c>
      <c r="I288" s="7">
        <f>Raw_Data!I288</f>
        <v/>
      </c>
      <c r="J288" s="8">
        <f>Raw_Data!J288</f>
        <v/>
      </c>
      <c r="K288" s="8">
        <f>Raw_Data!K288</f>
        <v/>
      </c>
      <c r="L288" s="8">
        <f>Raw_Data!L288</f>
        <v/>
      </c>
      <c r="M288" s="7">
        <f>Raw_Data!M288</f>
        <v/>
      </c>
      <c r="N288" s="7">
        <f>Raw_Data!N288</f>
        <v/>
      </c>
      <c r="O288" s="7">
        <f>Raw_Data!O288</f>
        <v/>
      </c>
      <c r="P288" s="8">
        <f>Raw_Data!P288</f>
        <v/>
      </c>
      <c r="R288" s="9">
        <f>IFERROR(Cleaned_Data!M288/Cleaned_Data!K288,0)</f>
        <v/>
      </c>
    </row>
    <row r="289">
      <c r="A289" s="10">
        <f>Raw_Data!A289</f>
        <v/>
      </c>
      <c r="B289" s="11">
        <f>Raw_Data!B289</f>
        <v/>
      </c>
      <c r="C289" s="11">
        <f>Raw_Data!C289</f>
        <v/>
      </c>
      <c r="D289" s="10">
        <f>Raw_Data!D289</f>
        <v/>
      </c>
      <c r="E289" s="10">
        <f>Raw_Data!E289</f>
        <v/>
      </c>
      <c r="F289" s="11">
        <f>Raw_Data!F289</f>
        <v/>
      </c>
      <c r="G289" s="11">
        <f>Raw_Data!G289</f>
        <v/>
      </c>
      <c r="H289" s="10">
        <f>Raw_Data!H289</f>
        <v/>
      </c>
      <c r="I289" s="10">
        <f>Raw_Data!I289</f>
        <v/>
      </c>
      <c r="J289" s="11">
        <f>Raw_Data!J289</f>
        <v/>
      </c>
      <c r="K289" s="11">
        <f>Raw_Data!K289</f>
        <v/>
      </c>
      <c r="L289" s="11">
        <f>Raw_Data!L289</f>
        <v/>
      </c>
      <c r="M289" s="10">
        <f>Raw_Data!M289</f>
        <v/>
      </c>
      <c r="N289" s="10">
        <f>Raw_Data!N289</f>
        <v/>
      </c>
      <c r="O289" s="10">
        <f>Raw_Data!O289</f>
        <v/>
      </c>
      <c r="P289" s="11">
        <f>Raw_Data!P289</f>
        <v/>
      </c>
      <c r="R289" s="9">
        <f>IFERROR(Cleaned_Data!M289/Cleaned_Data!K289,0)</f>
        <v/>
      </c>
    </row>
    <row r="290">
      <c r="A290" s="7">
        <f>Raw_Data!A290</f>
        <v/>
      </c>
      <c r="B290" s="8">
        <f>Raw_Data!B290</f>
        <v/>
      </c>
      <c r="C290" s="8">
        <f>Raw_Data!C290</f>
        <v/>
      </c>
      <c r="D290" s="7">
        <f>Raw_Data!D290</f>
        <v/>
      </c>
      <c r="E290" s="7">
        <f>Raw_Data!E290</f>
        <v/>
      </c>
      <c r="F290" s="8">
        <f>Raw_Data!F290</f>
        <v/>
      </c>
      <c r="G290" s="8">
        <f>Raw_Data!G290</f>
        <v/>
      </c>
      <c r="H290" s="7">
        <f>Raw_Data!H290</f>
        <v/>
      </c>
      <c r="I290" s="7">
        <f>Raw_Data!I290</f>
        <v/>
      </c>
      <c r="J290" s="8">
        <f>Raw_Data!J290</f>
        <v/>
      </c>
      <c r="K290" s="8">
        <f>Raw_Data!K290</f>
        <v/>
      </c>
      <c r="L290" s="8">
        <f>Raw_Data!L290</f>
        <v/>
      </c>
      <c r="M290" s="7">
        <f>Raw_Data!M290</f>
        <v/>
      </c>
      <c r="N290" s="7">
        <f>Raw_Data!N290</f>
        <v/>
      </c>
      <c r="O290" s="7">
        <f>Raw_Data!O290</f>
        <v/>
      </c>
      <c r="P290" s="8">
        <f>Raw_Data!P290</f>
        <v/>
      </c>
      <c r="R290" s="9">
        <f>IFERROR(Cleaned_Data!M290/Cleaned_Data!K290,0)</f>
        <v/>
      </c>
    </row>
    <row r="291">
      <c r="A291" s="10">
        <f>Raw_Data!A291</f>
        <v/>
      </c>
      <c r="B291" s="11">
        <f>Raw_Data!B291</f>
        <v/>
      </c>
      <c r="C291" s="11">
        <f>Raw_Data!C291</f>
        <v/>
      </c>
      <c r="D291" s="10">
        <f>Raw_Data!D291</f>
        <v/>
      </c>
      <c r="E291" s="10">
        <f>Raw_Data!E291</f>
        <v/>
      </c>
      <c r="F291" s="11">
        <f>Raw_Data!F291</f>
        <v/>
      </c>
      <c r="G291" s="11">
        <f>Raw_Data!G291</f>
        <v/>
      </c>
      <c r="H291" s="10">
        <f>Raw_Data!H291</f>
        <v/>
      </c>
      <c r="I291" s="10">
        <f>Raw_Data!I291</f>
        <v/>
      </c>
      <c r="J291" s="11">
        <f>Raw_Data!J291</f>
        <v/>
      </c>
      <c r="K291" s="11">
        <f>Raw_Data!K291</f>
        <v/>
      </c>
      <c r="L291" s="11">
        <f>Raw_Data!L291</f>
        <v/>
      </c>
      <c r="M291" s="10">
        <f>Raw_Data!M291</f>
        <v/>
      </c>
      <c r="N291" s="10">
        <f>Raw_Data!N291</f>
        <v/>
      </c>
      <c r="O291" s="10">
        <f>Raw_Data!O291</f>
        <v/>
      </c>
      <c r="P291" s="11">
        <f>Raw_Data!P291</f>
        <v/>
      </c>
      <c r="R291" s="9">
        <f>IFERROR(Cleaned_Data!M291/Cleaned_Data!K291,0)</f>
        <v/>
      </c>
    </row>
    <row r="292">
      <c r="A292" s="7">
        <f>Raw_Data!A292</f>
        <v/>
      </c>
      <c r="B292" s="8">
        <f>Raw_Data!B292</f>
        <v/>
      </c>
      <c r="C292" s="8">
        <f>Raw_Data!C292</f>
        <v/>
      </c>
      <c r="D292" s="7">
        <f>Raw_Data!D292</f>
        <v/>
      </c>
      <c r="E292" s="7">
        <f>Raw_Data!E292</f>
        <v/>
      </c>
      <c r="F292" s="8">
        <f>Raw_Data!F292</f>
        <v/>
      </c>
      <c r="G292" s="8">
        <f>Raw_Data!G292</f>
        <v/>
      </c>
      <c r="H292" s="7">
        <f>Raw_Data!H292</f>
        <v/>
      </c>
      <c r="I292" s="7">
        <f>Raw_Data!I292</f>
        <v/>
      </c>
      <c r="J292" s="8">
        <f>Raw_Data!J292</f>
        <v/>
      </c>
      <c r="K292" s="8">
        <f>Raw_Data!K292</f>
        <v/>
      </c>
      <c r="L292" s="8">
        <f>Raw_Data!L292</f>
        <v/>
      </c>
      <c r="M292" s="7">
        <f>Raw_Data!M292</f>
        <v/>
      </c>
      <c r="N292" s="7">
        <f>Raw_Data!N292</f>
        <v/>
      </c>
      <c r="O292" s="7">
        <f>Raw_Data!O292</f>
        <v/>
      </c>
      <c r="P292" s="8">
        <f>Raw_Data!P292</f>
        <v/>
      </c>
      <c r="R292" s="9">
        <f>IFERROR(Cleaned_Data!M292/Cleaned_Data!K292,0)</f>
        <v/>
      </c>
    </row>
    <row r="293">
      <c r="A293" s="10">
        <f>Raw_Data!A293</f>
        <v/>
      </c>
      <c r="B293" s="11">
        <f>Raw_Data!B293</f>
        <v/>
      </c>
      <c r="C293" s="11">
        <f>Raw_Data!C293</f>
        <v/>
      </c>
      <c r="D293" s="10">
        <f>Raw_Data!D293</f>
        <v/>
      </c>
      <c r="E293" s="10">
        <f>Raw_Data!E293</f>
        <v/>
      </c>
      <c r="F293" s="11">
        <f>Raw_Data!F293</f>
        <v/>
      </c>
      <c r="G293" s="11">
        <f>Raw_Data!G293</f>
        <v/>
      </c>
      <c r="H293" s="10">
        <f>Raw_Data!H293</f>
        <v/>
      </c>
      <c r="I293" s="10">
        <f>Raw_Data!I293</f>
        <v/>
      </c>
      <c r="J293" s="11">
        <f>Raw_Data!J293</f>
        <v/>
      </c>
      <c r="K293" s="11">
        <f>Raw_Data!K293</f>
        <v/>
      </c>
      <c r="L293" s="11">
        <f>Raw_Data!L293</f>
        <v/>
      </c>
      <c r="M293" s="10">
        <f>Raw_Data!M293</f>
        <v/>
      </c>
      <c r="N293" s="10">
        <f>Raw_Data!N293</f>
        <v/>
      </c>
      <c r="O293" s="10">
        <f>Raw_Data!O293</f>
        <v/>
      </c>
      <c r="P293" s="11">
        <f>Raw_Data!P293</f>
        <v/>
      </c>
      <c r="R293" s="9">
        <f>IFERROR(Cleaned_Data!M293/Cleaned_Data!K293,0)</f>
        <v/>
      </c>
    </row>
    <row r="294">
      <c r="A294" s="7">
        <f>Raw_Data!A294</f>
        <v/>
      </c>
      <c r="B294" s="8">
        <f>Raw_Data!B294</f>
        <v/>
      </c>
      <c r="C294" s="8">
        <f>Raw_Data!C294</f>
        <v/>
      </c>
      <c r="D294" s="7">
        <f>Raw_Data!D294</f>
        <v/>
      </c>
      <c r="E294" s="7">
        <f>Raw_Data!E294</f>
        <v/>
      </c>
      <c r="F294" s="8">
        <f>Raw_Data!F294</f>
        <v/>
      </c>
      <c r="G294" s="8">
        <f>Raw_Data!G294</f>
        <v/>
      </c>
      <c r="H294" s="7">
        <f>Raw_Data!H294</f>
        <v/>
      </c>
      <c r="I294" s="7">
        <f>Raw_Data!I294</f>
        <v/>
      </c>
      <c r="J294" s="8">
        <f>Raw_Data!J294</f>
        <v/>
      </c>
      <c r="K294" s="8">
        <f>Raw_Data!K294</f>
        <v/>
      </c>
      <c r="L294" s="8">
        <f>Raw_Data!L294</f>
        <v/>
      </c>
      <c r="M294" s="7">
        <f>Raw_Data!M294</f>
        <v/>
      </c>
      <c r="N294" s="7">
        <f>Raw_Data!N294</f>
        <v/>
      </c>
      <c r="O294" s="7">
        <f>Raw_Data!O294</f>
        <v/>
      </c>
      <c r="P294" s="8">
        <f>Raw_Data!P294</f>
        <v/>
      </c>
      <c r="R294" s="9">
        <f>IFERROR(Cleaned_Data!M294/Cleaned_Data!K294,0)</f>
        <v/>
      </c>
    </row>
    <row r="295">
      <c r="A295" s="10">
        <f>Raw_Data!A295</f>
        <v/>
      </c>
      <c r="B295" s="11">
        <f>Raw_Data!B295</f>
        <v/>
      </c>
      <c r="C295" s="11">
        <f>Raw_Data!C295</f>
        <v/>
      </c>
      <c r="D295" s="10">
        <f>Raw_Data!D295</f>
        <v/>
      </c>
      <c r="E295" s="10">
        <f>Raw_Data!E295</f>
        <v/>
      </c>
      <c r="F295" s="11">
        <f>Raw_Data!F295</f>
        <v/>
      </c>
      <c r="G295" s="11">
        <f>Raw_Data!G295</f>
        <v/>
      </c>
      <c r="H295" s="10">
        <f>Raw_Data!H295</f>
        <v/>
      </c>
      <c r="I295" s="10">
        <f>Raw_Data!I295</f>
        <v/>
      </c>
      <c r="J295" s="11">
        <f>Raw_Data!J295</f>
        <v/>
      </c>
      <c r="K295" s="11">
        <f>Raw_Data!K295</f>
        <v/>
      </c>
      <c r="L295" s="11">
        <f>Raw_Data!L295</f>
        <v/>
      </c>
      <c r="M295" s="10">
        <f>Raw_Data!M295</f>
        <v/>
      </c>
      <c r="N295" s="10">
        <f>Raw_Data!N295</f>
        <v/>
      </c>
      <c r="O295" s="10">
        <f>Raw_Data!O295</f>
        <v/>
      </c>
      <c r="P295" s="11">
        <f>Raw_Data!P295</f>
        <v/>
      </c>
      <c r="R295" s="9">
        <f>IFERROR(Cleaned_Data!M295/Cleaned_Data!K295,0)</f>
        <v/>
      </c>
    </row>
    <row r="296">
      <c r="A296" s="7">
        <f>Raw_Data!A296</f>
        <v/>
      </c>
      <c r="B296" s="8">
        <f>Raw_Data!B296</f>
        <v/>
      </c>
      <c r="C296" s="8">
        <f>Raw_Data!C296</f>
        <v/>
      </c>
      <c r="D296" s="7">
        <f>Raw_Data!D296</f>
        <v/>
      </c>
      <c r="E296" s="7">
        <f>Raw_Data!E296</f>
        <v/>
      </c>
      <c r="F296" s="8">
        <f>Raw_Data!F296</f>
        <v/>
      </c>
      <c r="G296" s="8">
        <f>Raw_Data!G296</f>
        <v/>
      </c>
      <c r="H296" s="7">
        <f>Raw_Data!H296</f>
        <v/>
      </c>
      <c r="I296" s="7">
        <f>Raw_Data!I296</f>
        <v/>
      </c>
      <c r="J296" s="8">
        <f>Raw_Data!J296</f>
        <v/>
      </c>
      <c r="K296" s="8">
        <f>Raw_Data!K296</f>
        <v/>
      </c>
      <c r="L296" s="8">
        <f>Raw_Data!L296</f>
        <v/>
      </c>
      <c r="M296" s="7">
        <f>Raw_Data!M296</f>
        <v/>
      </c>
      <c r="N296" s="7">
        <f>Raw_Data!N296</f>
        <v/>
      </c>
      <c r="O296" s="7">
        <f>Raw_Data!O296</f>
        <v/>
      </c>
      <c r="P296" s="8">
        <f>Raw_Data!P296</f>
        <v/>
      </c>
      <c r="R296" s="9">
        <f>IFERROR(Cleaned_Data!M296/Cleaned_Data!K296,0)</f>
        <v/>
      </c>
    </row>
    <row r="297">
      <c r="A297" s="10">
        <f>Raw_Data!A297</f>
        <v/>
      </c>
      <c r="B297" s="11">
        <f>Raw_Data!B297</f>
        <v/>
      </c>
      <c r="C297" s="11">
        <f>Raw_Data!C297</f>
        <v/>
      </c>
      <c r="D297" s="10">
        <f>Raw_Data!D297</f>
        <v/>
      </c>
      <c r="E297" s="10">
        <f>Raw_Data!E297</f>
        <v/>
      </c>
      <c r="F297" s="11">
        <f>Raw_Data!F297</f>
        <v/>
      </c>
      <c r="G297" s="11">
        <f>Raw_Data!G297</f>
        <v/>
      </c>
      <c r="H297" s="10">
        <f>Raw_Data!H297</f>
        <v/>
      </c>
      <c r="I297" s="10">
        <f>Raw_Data!I297</f>
        <v/>
      </c>
      <c r="J297" s="11">
        <f>Raw_Data!J297</f>
        <v/>
      </c>
      <c r="K297" s="11">
        <f>Raw_Data!K297</f>
        <v/>
      </c>
      <c r="L297" s="11">
        <f>Raw_Data!L297</f>
        <v/>
      </c>
      <c r="M297" s="10">
        <f>Raw_Data!M297</f>
        <v/>
      </c>
      <c r="N297" s="10">
        <f>Raw_Data!N297</f>
        <v/>
      </c>
      <c r="O297" s="10">
        <f>Raw_Data!O297</f>
        <v/>
      </c>
      <c r="P297" s="11">
        <f>Raw_Data!P297</f>
        <v/>
      </c>
      <c r="R297" s="9">
        <f>IFERROR(Cleaned_Data!M297/Cleaned_Data!K297,0)</f>
        <v/>
      </c>
    </row>
    <row r="298">
      <c r="A298" s="7">
        <f>Raw_Data!A298</f>
        <v/>
      </c>
      <c r="B298" s="8">
        <f>Raw_Data!B298</f>
        <v/>
      </c>
      <c r="C298" s="8">
        <f>Raw_Data!C298</f>
        <v/>
      </c>
      <c r="D298" s="7">
        <f>Raw_Data!D298</f>
        <v/>
      </c>
      <c r="E298" s="7">
        <f>Raw_Data!E298</f>
        <v/>
      </c>
      <c r="F298" s="8">
        <f>Raw_Data!F298</f>
        <v/>
      </c>
      <c r="G298" s="8">
        <f>Raw_Data!G298</f>
        <v/>
      </c>
      <c r="H298" s="7">
        <f>Raw_Data!H298</f>
        <v/>
      </c>
      <c r="I298" s="7">
        <f>Raw_Data!I298</f>
        <v/>
      </c>
      <c r="J298" s="8">
        <f>Raw_Data!J298</f>
        <v/>
      </c>
      <c r="K298" s="8">
        <f>Raw_Data!K298</f>
        <v/>
      </c>
      <c r="L298" s="8">
        <f>Raw_Data!L298</f>
        <v/>
      </c>
      <c r="M298" s="7">
        <f>Raw_Data!M298</f>
        <v/>
      </c>
      <c r="N298" s="7">
        <f>Raw_Data!N298</f>
        <v/>
      </c>
      <c r="O298" s="7">
        <f>Raw_Data!O298</f>
        <v/>
      </c>
      <c r="P298" s="8">
        <f>Raw_Data!P298</f>
        <v/>
      </c>
      <c r="R298" s="9">
        <f>IFERROR(Cleaned_Data!M298/Cleaned_Data!K298,0)</f>
        <v/>
      </c>
    </row>
    <row r="299">
      <c r="A299" s="10">
        <f>Raw_Data!A299</f>
        <v/>
      </c>
      <c r="B299" s="11">
        <f>Raw_Data!B299</f>
        <v/>
      </c>
      <c r="C299" s="11">
        <f>Raw_Data!C299</f>
        <v/>
      </c>
      <c r="D299" s="10">
        <f>Raw_Data!D299</f>
        <v/>
      </c>
      <c r="E299" s="10">
        <f>Raw_Data!E299</f>
        <v/>
      </c>
      <c r="F299" s="11">
        <f>Raw_Data!F299</f>
        <v/>
      </c>
      <c r="G299" s="11">
        <f>Raw_Data!G299</f>
        <v/>
      </c>
      <c r="H299" s="10">
        <f>Raw_Data!H299</f>
        <v/>
      </c>
      <c r="I299" s="10">
        <f>Raw_Data!I299</f>
        <v/>
      </c>
      <c r="J299" s="11">
        <f>Raw_Data!J299</f>
        <v/>
      </c>
      <c r="K299" s="11">
        <f>Raw_Data!K299</f>
        <v/>
      </c>
      <c r="L299" s="11">
        <f>Raw_Data!L299</f>
        <v/>
      </c>
      <c r="M299" s="10">
        <f>Raw_Data!M299</f>
        <v/>
      </c>
      <c r="N299" s="10">
        <f>Raw_Data!N299</f>
        <v/>
      </c>
      <c r="O299" s="10">
        <f>Raw_Data!O299</f>
        <v/>
      </c>
      <c r="P299" s="11">
        <f>Raw_Data!P299</f>
        <v/>
      </c>
      <c r="R299" s="9">
        <f>IFERROR(Cleaned_Data!M299/Cleaned_Data!K299,0)</f>
        <v/>
      </c>
    </row>
    <row r="300">
      <c r="A300" s="7">
        <f>Raw_Data!A300</f>
        <v/>
      </c>
      <c r="B300" s="8">
        <f>Raw_Data!B300</f>
        <v/>
      </c>
      <c r="C300" s="8">
        <f>Raw_Data!C300</f>
        <v/>
      </c>
      <c r="D300" s="7">
        <f>Raw_Data!D300</f>
        <v/>
      </c>
      <c r="E300" s="7">
        <f>Raw_Data!E300</f>
        <v/>
      </c>
      <c r="F300" s="8">
        <f>Raw_Data!F300</f>
        <v/>
      </c>
      <c r="G300" s="8">
        <f>Raw_Data!G300</f>
        <v/>
      </c>
      <c r="H300" s="7">
        <f>Raw_Data!H300</f>
        <v/>
      </c>
      <c r="I300" s="7">
        <f>Raw_Data!I300</f>
        <v/>
      </c>
      <c r="J300" s="8">
        <f>Raw_Data!J300</f>
        <v/>
      </c>
      <c r="K300" s="8">
        <f>Raw_Data!K300</f>
        <v/>
      </c>
      <c r="L300" s="8">
        <f>Raw_Data!L300</f>
        <v/>
      </c>
      <c r="M300" s="7">
        <f>Raw_Data!M300</f>
        <v/>
      </c>
      <c r="N300" s="7">
        <f>Raw_Data!N300</f>
        <v/>
      </c>
      <c r="O300" s="7">
        <f>Raw_Data!O300</f>
        <v/>
      </c>
      <c r="P300" s="8">
        <f>Raw_Data!P300</f>
        <v/>
      </c>
      <c r="R300" s="9">
        <f>IFERROR(Cleaned_Data!M300/Cleaned_Data!K300,0)</f>
        <v/>
      </c>
    </row>
    <row r="301">
      <c r="A301" s="10">
        <f>Raw_Data!A301</f>
        <v/>
      </c>
      <c r="B301" s="11">
        <f>Raw_Data!B301</f>
        <v/>
      </c>
      <c r="C301" s="11">
        <f>Raw_Data!C301</f>
        <v/>
      </c>
      <c r="D301" s="10">
        <f>Raw_Data!D301</f>
        <v/>
      </c>
      <c r="E301" s="10">
        <f>Raw_Data!E301</f>
        <v/>
      </c>
      <c r="F301" s="11">
        <f>Raw_Data!F301</f>
        <v/>
      </c>
      <c r="G301" s="11">
        <f>Raw_Data!G301</f>
        <v/>
      </c>
      <c r="H301" s="10">
        <f>Raw_Data!H301</f>
        <v/>
      </c>
      <c r="I301" s="10">
        <f>Raw_Data!I301</f>
        <v/>
      </c>
      <c r="J301" s="11">
        <f>Raw_Data!J301</f>
        <v/>
      </c>
      <c r="K301" s="11">
        <f>Raw_Data!K301</f>
        <v/>
      </c>
      <c r="L301" s="11">
        <f>Raw_Data!L301</f>
        <v/>
      </c>
      <c r="M301" s="10">
        <f>Raw_Data!M301</f>
        <v/>
      </c>
      <c r="N301" s="10">
        <f>Raw_Data!N301</f>
        <v/>
      </c>
      <c r="O301" s="10">
        <f>Raw_Data!O301</f>
        <v/>
      </c>
      <c r="P301" s="11">
        <f>Raw_Data!P301</f>
        <v/>
      </c>
      <c r="R301" s="9">
        <f>IFERROR(Cleaned_Data!M301/Cleaned_Data!K301,0)</f>
        <v/>
      </c>
    </row>
    <row r="302">
      <c r="A302" s="7">
        <f>Raw_Data!A302</f>
        <v/>
      </c>
      <c r="B302" s="8">
        <f>Raw_Data!B302</f>
        <v/>
      </c>
      <c r="C302" s="8">
        <f>Raw_Data!C302</f>
        <v/>
      </c>
      <c r="D302" s="7">
        <f>Raw_Data!D302</f>
        <v/>
      </c>
      <c r="E302" s="7">
        <f>Raw_Data!E302</f>
        <v/>
      </c>
      <c r="F302" s="8">
        <f>Raw_Data!F302</f>
        <v/>
      </c>
      <c r="G302" s="8">
        <f>Raw_Data!G302</f>
        <v/>
      </c>
      <c r="H302" s="7">
        <f>Raw_Data!H302</f>
        <v/>
      </c>
      <c r="I302" s="7">
        <f>Raw_Data!I302</f>
        <v/>
      </c>
      <c r="J302" s="8">
        <f>Raw_Data!J302</f>
        <v/>
      </c>
      <c r="K302" s="8">
        <f>Raw_Data!K302</f>
        <v/>
      </c>
      <c r="L302" s="8">
        <f>Raw_Data!L302</f>
        <v/>
      </c>
      <c r="M302" s="7">
        <f>Raw_Data!M302</f>
        <v/>
      </c>
      <c r="N302" s="7">
        <f>Raw_Data!N302</f>
        <v/>
      </c>
      <c r="O302" s="7">
        <f>Raw_Data!O302</f>
        <v/>
      </c>
      <c r="P302" s="8">
        <f>Raw_Data!P302</f>
        <v/>
      </c>
      <c r="R302" s="9">
        <f>IFERROR(Cleaned_Data!M302/Cleaned_Data!K302,0)</f>
        <v/>
      </c>
    </row>
    <row r="303">
      <c r="A303" s="10">
        <f>Raw_Data!A303</f>
        <v/>
      </c>
      <c r="B303" s="11">
        <f>Raw_Data!B303</f>
        <v/>
      </c>
      <c r="C303" s="11">
        <f>Raw_Data!C303</f>
        <v/>
      </c>
      <c r="D303" s="10">
        <f>Raw_Data!D303</f>
        <v/>
      </c>
      <c r="E303" s="10">
        <f>Raw_Data!E303</f>
        <v/>
      </c>
      <c r="F303" s="11">
        <f>Raw_Data!F303</f>
        <v/>
      </c>
      <c r="G303" s="11">
        <f>Raw_Data!G303</f>
        <v/>
      </c>
      <c r="H303" s="10">
        <f>Raw_Data!H303</f>
        <v/>
      </c>
      <c r="I303" s="10">
        <f>Raw_Data!I303</f>
        <v/>
      </c>
      <c r="J303" s="11">
        <f>Raw_Data!J303</f>
        <v/>
      </c>
      <c r="K303" s="11">
        <f>Raw_Data!K303</f>
        <v/>
      </c>
      <c r="L303" s="11">
        <f>Raw_Data!L303</f>
        <v/>
      </c>
      <c r="M303" s="10">
        <f>Raw_Data!M303</f>
        <v/>
      </c>
      <c r="N303" s="10">
        <f>Raw_Data!N303</f>
        <v/>
      </c>
      <c r="O303" s="10">
        <f>Raw_Data!O303</f>
        <v/>
      </c>
      <c r="P303" s="11">
        <f>Raw_Data!P303</f>
        <v/>
      </c>
      <c r="R303" s="9">
        <f>IFERROR(Cleaned_Data!M303/Cleaned_Data!K303,0)</f>
        <v/>
      </c>
    </row>
    <row r="304">
      <c r="A304" s="7">
        <f>Raw_Data!A304</f>
        <v/>
      </c>
      <c r="B304" s="8">
        <f>Raw_Data!B304</f>
        <v/>
      </c>
      <c r="C304" s="8">
        <f>Raw_Data!C304</f>
        <v/>
      </c>
      <c r="D304" s="7">
        <f>Raw_Data!D304</f>
        <v/>
      </c>
      <c r="E304" s="7">
        <f>Raw_Data!E304</f>
        <v/>
      </c>
      <c r="F304" s="8">
        <f>Raw_Data!F304</f>
        <v/>
      </c>
      <c r="G304" s="8">
        <f>Raw_Data!G304</f>
        <v/>
      </c>
      <c r="H304" s="7">
        <f>Raw_Data!H304</f>
        <v/>
      </c>
      <c r="I304" s="7">
        <f>Raw_Data!I304</f>
        <v/>
      </c>
      <c r="J304" s="8">
        <f>Raw_Data!J304</f>
        <v/>
      </c>
      <c r="K304" s="8">
        <f>Raw_Data!K304</f>
        <v/>
      </c>
      <c r="L304" s="8">
        <f>Raw_Data!L304</f>
        <v/>
      </c>
      <c r="M304" s="7">
        <f>Raw_Data!M304</f>
        <v/>
      </c>
      <c r="N304" s="7">
        <f>Raw_Data!N304</f>
        <v/>
      </c>
      <c r="O304" s="7">
        <f>Raw_Data!O304</f>
        <v/>
      </c>
      <c r="P304" s="8">
        <f>Raw_Data!P304</f>
        <v/>
      </c>
      <c r="R304" s="9">
        <f>IFERROR(Cleaned_Data!M304/Cleaned_Data!K304,0)</f>
        <v/>
      </c>
    </row>
    <row r="305">
      <c r="A305" s="10">
        <f>Raw_Data!A305</f>
        <v/>
      </c>
      <c r="B305" s="11">
        <f>Raw_Data!B305</f>
        <v/>
      </c>
      <c r="C305" s="11">
        <f>Raw_Data!C305</f>
        <v/>
      </c>
      <c r="D305" s="10">
        <f>Raw_Data!D305</f>
        <v/>
      </c>
      <c r="E305" s="10">
        <f>Raw_Data!E305</f>
        <v/>
      </c>
      <c r="F305" s="11">
        <f>Raw_Data!F305</f>
        <v/>
      </c>
      <c r="G305" s="11">
        <f>Raw_Data!G305</f>
        <v/>
      </c>
      <c r="H305" s="10">
        <f>Raw_Data!H305</f>
        <v/>
      </c>
      <c r="I305" s="10">
        <f>Raw_Data!I305</f>
        <v/>
      </c>
      <c r="J305" s="11">
        <f>Raw_Data!J305</f>
        <v/>
      </c>
      <c r="K305" s="11">
        <f>Raw_Data!K305</f>
        <v/>
      </c>
      <c r="L305" s="11">
        <f>Raw_Data!L305</f>
        <v/>
      </c>
      <c r="M305" s="10">
        <f>Raw_Data!M305</f>
        <v/>
      </c>
      <c r="N305" s="10">
        <f>Raw_Data!N305</f>
        <v/>
      </c>
      <c r="O305" s="10">
        <f>Raw_Data!O305</f>
        <v/>
      </c>
      <c r="P305" s="11">
        <f>Raw_Data!P305</f>
        <v/>
      </c>
      <c r="R305" s="9">
        <f>IFERROR(Cleaned_Data!M305/Cleaned_Data!K305,0)</f>
        <v/>
      </c>
    </row>
    <row r="306">
      <c r="A306" s="7">
        <f>Raw_Data!A306</f>
        <v/>
      </c>
      <c r="B306" s="8">
        <f>Raw_Data!B306</f>
        <v/>
      </c>
      <c r="C306" s="8">
        <f>Raw_Data!C306</f>
        <v/>
      </c>
      <c r="D306" s="7">
        <f>Raw_Data!D306</f>
        <v/>
      </c>
      <c r="E306" s="7">
        <f>Raw_Data!E306</f>
        <v/>
      </c>
      <c r="F306" s="8">
        <f>Raw_Data!F306</f>
        <v/>
      </c>
      <c r="G306" s="8">
        <f>Raw_Data!G306</f>
        <v/>
      </c>
      <c r="H306" s="7">
        <f>Raw_Data!H306</f>
        <v/>
      </c>
      <c r="I306" s="7">
        <f>Raw_Data!I306</f>
        <v/>
      </c>
      <c r="J306" s="8">
        <f>Raw_Data!J306</f>
        <v/>
      </c>
      <c r="K306" s="8">
        <f>Raw_Data!K306</f>
        <v/>
      </c>
      <c r="L306" s="8">
        <f>Raw_Data!L306</f>
        <v/>
      </c>
      <c r="M306" s="7">
        <f>Raw_Data!M306</f>
        <v/>
      </c>
      <c r="N306" s="7">
        <f>Raw_Data!N306</f>
        <v/>
      </c>
      <c r="O306" s="7">
        <f>Raw_Data!O306</f>
        <v/>
      </c>
      <c r="P306" s="8">
        <f>Raw_Data!P306</f>
        <v/>
      </c>
      <c r="R306" s="9">
        <f>IFERROR(Cleaned_Data!M306/Cleaned_Data!K306,0)</f>
        <v/>
      </c>
    </row>
    <row r="307">
      <c r="A307" s="10">
        <f>Raw_Data!A307</f>
        <v/>
      </c>
      <c r="B307" s="11">
        <f>Raw_Data!B307</f>
        <v/>
      </c>
      <c r="C307" s="11">
        <f>Raw_Data!C307</f>
        <v/>
      </c>
      <c r="D307" s="10">
        <f>Raw_Data!D307</f>
        <v/>
      </c>
      <c r="E307" s="10">
        <f>Raw_Data!E307</f>
        <v/>
      </c>
      <c r="F307" s="11">
        <f>Raw_Data!F307</f>
        <v/>
      </c>
      <c r="G307" s="11">
        <f>Raw_Data!G307</f>
        <v/>
      </c>
      <c r="H307" s="10">
        <f>Raw_Data!H307</f>
        <v/>
      </c>
      <c r="I307" s="10">
        <f>Raw_Data!I307</f>
        <v/>
      </c>
      <c r="J307" s="11">
        <f>Raw_Data!J307</f>
        <v/>
      </c>
      <c r="K307" s="11">
        <f>Raw_Data!K307</f>
        <v/>
      </c>
      <c r="L307" s="11">
        <f>Raw_Data!L307</f>
        <v/>
      </c>
      <c r="M307" s="10">
        <f>Raw_Data!M307</f>
        <v/>
      </c>
      <c r="N307" s="10">
        <f>Raw_Data!N307</f>
        <v/>
      </c>
      <c r="O307" s="10">
        <f>Raw_Data!O307</f>
        <v/>
      </c>
      <c r="P307" s="11">
        <f>Raw_Data!P307</f>
        <v/>
      </c>
      <c r="R307" s="9">
        <f>IFERROR(Cleaned_Data!M307/Cleaned_Data!K307,0)</f>
        <v/>
      </c>
    </row>
    <row r="308">
      <c r="A308" s="7">
        <f>Raw_Data!A308</f>
        <v/>
      </c>
      <c r="B308" s="8">
        <f>Raw_Data!B308</f>
        <v/>
      </c>
      <c r="C308" s="8">
        <f>Raw_Data!C308</f>
        <v/>
      </c>
      <c r="D308" s="7">
        <f>Raw_Data!D308</f>
        <v/>
      </c>
      <c r="E308" s="7">
        <f>Raw_Data!E308</f>
        <v/>
      </c>
      <c r="F308" s="8">
        <f>Raw_Data!F308</f>
        <v/>
      </c>
      <c r="G308" s="8">
        <f>Raw_Data!G308</f>
        <v/>
      </c>
      <c r="H308" s="7">
        <f>Raw_Data!H308</f>
        <v/>
      </c>
      <c r="I308" s="7">
        <f>Raw_Data!I308</f>
        <v/>
      </c>
      <c r="J308" s="8">
        <f>Raw_Data!J308</f>
        <v/>
      </c>
      <c r="K308" s="8">
        <f>Raw_Data!K308</f>
        <v/>
      </c>
      <c r="L308" s="8">
        <f>Raw_Data!L308</f>
        <v/>
      </c>
      <c r="M308" s="7">
        <f>Raw_Data!M308</f>
        <v/>
      </c>
      <c r="N308" s="7">
        <f>Raw_Data!N308</f>
        <v/>
      </c>
      <c r="O308" s="7">
        <f>Raw_Data!O308</f>
        <v/>
      </c>
      <c r="P308" s="8">
        <f>Raw_Data!P308</f>
        <v/>
      </c>
      <c r="R308" s="9">
        <f>IFERROR(Cleaned_Data!M308/Cleaned_Data!K308,0)</f>
        <v/>
      </c>
    </row>
    <row r="309">
      <c r="A309" s="10">
        <f>Raw_Data!A309</f>
        <v/>
      </c>
      <c r="B309" s="11">
        <f>Raw_Data!B309</f>
        <v/>
      </c>
      <c r="C309" s="11">
        <f>Raw_Data!C309</f>
        <v/>
      </c>
      <c r="D309" s="10">
        <f>Raw_Data!D309</f>
        <v/>
      </c>
      <c r="E309" s="10">
        <f>Raw_Data!E309</f>
        <v/>
      </c>
      <c r="F309" s="11">
        <f>Raw_Data!F309</f>
        <v/>
      </c>
      <c r="G309" s="11">
        <f>Raw_Data!G309</f>
        <v/>
      </c>
      <c r="H309" s="10">
        <f>Raw_Data!H309</f>
        <v/>
      </c>
      <c r="I309" s="10">
        <f>Raw_Data!I309</f>
        <v/>
      </c>
      <c r="J309" s="11">
        <f>Raw_Data!J309</f>
        <v/>
      </c>
      <c r="K309" s="11">
        <f>Raw_Data!K309</f>
        <v/>
      </c>
      <c r="L309" s="11">
        <f>Raw_Data!L309</f>
        <v/>
      </c>
      <c r="M309" s="10">
        <f>Raw_Data!M309</f>
        <v/>
      </c>
      <c r="N309" s="10">
        <f>Raw_Data!N309</f>
        <v/>
      </c>
      <c r="O309" s="10">
        <f>Raw_Data!O309</f>
        <v/>
      </c>
      <c r="P309" s="11">
        <f>Raw_Data!P309</f>
        <v/>
      </c>
      <c r="R309" s="9">
        <f>IFERROR(Cleaned_Data!M309/Cleaned_Data!K309,0)</f>
        <v/>
      </c>
    </row>
    <row r="310">
      <c r="A310" s="7">
        <f>Raw_Data!A310</f>
        <v/>
      </c>
      <c r="B310" s="8">
        <f>Raw_Data!B310</f>
        <v/>
      </c>
      <c r="C310" s="8">
        <f>Raw_Data!C310</f>
        <v/>
      </c>
      <c r="D310" s="7">
        <f>Raw_Data!D310</f>
        <v/>
      </c>
      <c r="E310" s="7">
        <f>Raw_Data!E310</f>
        <v/>
      </c>
      <c r="F310" s="8">
        <f>Raw_Data!F310</f>
        <v/>
      </c>
      <c r="G310" s="8">
        <f>Raw_Data!G310</f>
        <v/>
      </c>
      <c r="H310" s="7">
        <f>Raw_Data!H310</f>
        <v/>
      </c>
      <c r="I310" s="7">
        <f>Raw_Data!I310</f>
        <v/>
      </c>
      <c r="J310" s="8">
        <f>Raw_Data!J310</f>
        <v/>
      </c>
      <c r="K310" s="8">
        <f>Raw_Data!K310</f>
        <v/>
      </c>
      <c r="L310" s="8">
        <f>Raw_Data!L310</f>
        <v/>
      </c>
      <c r="M310" s="7">
        <f>Raw_Data!M310</f>
        <v/>
      </c>
      <c r="N310" s="7">
        <f>Raw_Data!N310</f>
        <v/>
      </c>
      <c r="O310" s="7">
        <f>Raw_Data!O310</f>
        <v/>
      </c>
      <c r="P310" s="8">
        <f>Raw_Data!P310</f>
        <v/>
      </c>
      <c r="R310" s="9">
        <f>IFERROR(Cleaned_Data!M310/Cleaned_Data!K310,0)</f>
        <v/>
      </c>
    </row>
    <row r="311">
      <c r="A311" s="10">
        <f>Raw_Data!A311</f>
        <v/>
      </c>
      <c r="B311" s="11">
        <f>Raw_Data!B311</f>
        <v/>
      </c>
      <c r="C311" s="11">
        <f>Raw_Data!C311</f>
        <v/>
      </c>
      <c r="D311" s="10">
        <f>Raw_Data!D311</f>
        <v/>
      </c>
      <c r="E311" s="10">
        <f>Raw_Data!E311</f>
        <v/>
      </c>
      <c r="F311" s="11">
        <f>Raw_Data!F311</f>
        <v/>
      </c>
      <c r="G311" s="11">
        <f>Raw_Data!G311</f>
        <v/>
      </c>
      <c r="H311" s="10">
        <f>Raw_Data!H311</f>
        <v/>
      </c>
      <c r="I311" s="10">
        <f>Raw_Data!I311</f>
        <v/>
      </c>
      <c r="J311" s="11">
        <f>Raw_Data!J311</f>
        <v/>
      </c>
      <c r="K311" s="11">
        <f>Raw_Data!K311</f>
        <v/>
      </c>
      <c r="L311" s="11">
        <f>Raw_Data!L311</f>
        <v/>
      </c>
      <c r="M311" s="10">
        <f>Raw_Data!M311</f>
        <v/>
      </c>
      <c r="N311" s="10">
        <f>Raw_Data!N311</f>
        <v/>
      </c>
      <c r="O311" s="10">
        <f>Raw_Data!O311</f>
        <v/>
      </c>
      <c r="P311" s="11">
        <f>Raw_Data!P311</f>
        <v/>
      </c>
      <c r="R311" s="9">
        <f>IFERROR(Cleaned_Data!M311/Cleaned_Data!K311,0)</f>
        <v/>
      </c>
    </row>
    <row r="312">
      <c r="A312" s="7">
        <f>Raw_Data!A312</f>
        <v/>
      </c>
      <c r="B312" s="8">
        <f>Raw_Data!B312</f>
        <v/>
      </c>
      <c r="C312" s="8">
        <f>Raw_Data!C312</f>
        <v/>
      </c>
      <c r="D312" s="7">
        <f>Raw_Data!D312</f>
        <v/>
      </c>
      <c r="E312" s="7">
        <f>Raw_Data!E312</f>
        <v/>
      </c>
      <c r="F312" s="8">
        <f>Raw_Data!F312</f>
        <v/>
      </c>
      <c r="G312" s="8">
        <f>Raw_Data!G312</f>
        <v/>
      </c>
      <c r="H312" s="7">
        <f>Raw_Data!H312</f>
        <v/>
      </c>
      <c r="I312" s="7">
        <f>Raw_Data!I312</f>
        <v/>
      </c>
      <c r="J312" s="8">
        <f>Raw_Data!J312</f>
        <v/>
      </c>
      <c r="K312" s="8">
        <f>Raw_Data!K312</f>
        <v/>
      </c>
      <c r="L312" s="8">
        <f>Raw_Data!L312</f>
        <v/>
      </c>
      <c r="M312" s="7">
        <f>Raw_Data!M312</f>
        <v/>
      </c>
      <c r="N312" s="7">
        <f>Raw_Data!N312</f>
        <v/>
      </c>
      <c r="O312" s="7">
        <f>Raw_Data!O312</f>
        <v/>
      </c>
      <c r="P312" s="8">
        <f>Raw_Data!P312</f>
        <v/>
      </c>
      <c r="R312" s="9">
        <f>IFERROR(Cleaned_Data!M312/Cleaned_Data!K312,0)</f>
        <v/>
      </c>
    </row>
    <row r="313">
      <c r="A313" s="10">
        <f>Raw_Data!A313</f>
        <v/>
      </c>
      <c r="B313" s="11">
        <f>Raw_Data!B313</f>
        <v/>
      </c>
      <c r="C313" s="11">
        <f>Raw_Data!C313</f>
        <v/>
      </c>
      <c r="D313" s="10">
        <f>Raw_Data!D313</f>
        <v/>
      </c>
      <c r="E313" s="10">
        <f>Raw_Data!E313</f>
        <v/>
      </c>
      <c r="F313" s="11">
        <f>Raw_Data!F313</f>
        <v/>
      </c>
      <c r="G313" s="11">
        <f>Raw_Data!G313</f>
        <v/>
      </c>
      <c r="H313" s="10">
        <f>Raw_Data!H313</f>
        <v/>
      </c>
      <c r="I313" s="10">
        <f>Raw_Data!I313</f>
        <v/>
      </c>
      <c r="J313" s="11">
        <f>Raw_Data!J313</f>
        <v/>
      </c>
      <c r="K313" s="11">
        <f>Raw_Data!K313</f>
        <v/>
      </c>
      <c r="L313" s="11">
        <f>Raw_Data!L313</f>
        <v/>
      </c>
      <c r="M313" s="10">
        <f>Raw_Data!M313</f>
        <v/>
      </c>
      <c r="N313" s="10">
        <f>Raw_Data!N313</f>
        <v/>
      </c>
      <c r="O313" s="10">
        <f>Raw_Data!O313</f>
        <v/>
      </c>
      <c r="P313" s="11">
        <f>Raw_Data!P313</f>
        <v/>
      </c>
      <c r="R313" s="9">
        <f>IFERROR(Cleaned_Data!M313/Cleaned_Data!K313,0)</f>
        <v/>
      </c>
    </row>
    <row r="314">
      <c r="A314" s="7">
        <f>Raw_Data!A314</f>
        <v/>
      </c>
      <c r="B314" s="8">
        <f>Raw_Data!B314</f>
        <v/>
      </c>
      <c r="C314" s="8">
        <f>Raw_Data!C314</f>
        <v/>
      </c>
      <c r="D314" s="7">
        <f>Raw_Data!D314</f>
        <v/>
      </c>
      <c r="E314" s="7">
        <f>Raw_Data!E314</f>
        <v/>
      </c>
      <c r="F314" s="8">
        <f>Raw_Data!F314</f>
        <v/>
      </c>
      <c r="G314" s="8">
        <f>Raw_Data!G314</f>
        <v/>
      </c>
      <c r="H314" s="7">
        <f>Raw_Data!H314</f>
        <v/>
      </c>
      <c r="I314" s="7">
        <f>Raw_Data!I314</f>
        <v/>
      </c>
      <c r="J314" s="8">
        <f>Raw_Data!J314</f>
        <v/>
      </c>
      <c r="K314" s="8">
        <f>Raw_Data!K314</f>
        <v/>
      </c>
      <c r="L314" s="8">
        <f>Raw_Data!L314</f>
        <v/>
      </c>
      <c r="M314" s="7">
        <f>Raw_Data!M314</f>
        <v/>
      </c>
      <c r="N314" s="7">
        <f>Raw_Data!N314</f>
        <v/>
      </c>
      <c r="O314" s="7">
        <f>Raw_Data!O314</f>
        <v/>
      </c>
      <c r="P314" s="8">
        <f>Raw_Data!P314</f>
        <v/>
      </c>
      <c r="R314" s="9">
        <f>IFERROR(Cleaned_Data!M314/Cleaned_Data!K314,0)</f>
        <v/>
      </c>
    </row>
    <row r="315">
      <c r="A315" s="10">
        <f>Raw_Data!A315</f>
        <v/>
      </c>
      <c r="B315" s="11">
        <f>Raw_Data!B315</f>
        <v/>
      </c>
      <c r="C315" s="11">
        <f>Raw_Data!C315</f>
        <v/>
      </c>
      <c r="D315" s="10">
        <f>Raw_Data!D315</f>
        <v/>
      </c>
      <c r="E315" s="10">
        <f>Raw_Data!E315</f>
        <v/>
      </c>
      <c r="F315" s="11">
        <f>Raw_Data!F315</f>
        <v/>
      </c>
      <c r="G315" s="11">
        <f>Raw_Data!G315</f>
        <v/>
      </c>
      <c r="H315" s="10">
        <f>Raw_Data!H315</f>
        <v/>
      </c>
      <c r="I315" s="10">
        <f>Raw_Data!I315</f>
        <v/>
      </c>
      <c r="J315" s="11">
        <f>Raw_Data!J315</f>
        <v/>
      </c>
      <c r="K315" s="11">
        <f>Raw_Data!K315</f>
        <v/>
      </c>
      <c r="L315" s="11">
        <f>Raw_Data!L315</f>
        <v/>
      </c>
      <c r="M315" s="10">
        <f>Raw_Data!M315</f>
        <v/>
      </c>
      <c r="N315" s="10">
        <f>Raw_Data!N315</f>
        <v/>
      </c>
      <c r="O315" s="10">
        <f>Raw_Data!O315</f>
        <v/>
      </c>
      <c r="P315" s="11">
        <f>Raw_Data!P315</f>
        <v/>
      </c>
      <c r="R315" s="9">
        <f>IFERROR(Cleaned_Data!M315/Cleaned_Data!K315,0)</f>
        <v/>
      </c>
    </row>
    <row r="316">
      <c r="A316" s="7">
        <f>Raw_Data!A316</f>
        <v/>
      </c>
      <c r="B316" s="8">
        <f>Raw_Data!B316</f>
        <v/>
      </c>
      <c r="C316" s="8">
        <f>Raw_Data!C316</f>
        <v/>
      </c>
      <c r="D316" s="7">
        <f>Raw_Data!D316</f>
        <v/>
      </c>
      <c r="E316" s="7">
        <f>Raw_Data!E316</f>
        <v/>
      </c>
      <c r="F316" s="8">
        <f>Raw_Data!F316</f>
        <v/>
      </c>
      <c r="G316" s="8">
        <f>Raw_Data!G316</f>
        <v/>
      </c>
      <c r="H316" s="7">
        <f>Raw_Data!H316</f>
        <v/>
      </c>
      <c r="I316" s="7">
        <f>Raw_Data!I316</f>
        <v/>
      </c>
      <c r="J316" s="8">
        <f>Raw_Data!J316</f>
        <v/>
      </c>
      <c r="K316" s="8">
        <f>Raw_Data!K316</f>
        <v/>
      </c>
      <c r="L316" s="8">
        <f>Raw_Data!L316</f>
        <v/>
      </c>
      <c r="M316" s="7">
        <f>Raw_Data!M316</f>
        <v/>
      </c>
      <c r="N316" s="7">
        <f>Raw_Data!N316</f>
        <v/>
      </c>
      <c r="O316" s="7">
        <f>Raw_Data!O316</f>
        <v/>
      </c>
      <c r="P316" s="8">
        <f>Raw_Data!P316</f>
        <v/>
      </c>
      <c r="R316" s="9">
        <f>IFERROR(Cleaned_Data!M316/Cleaned_Data!K316,0)</f>
        <v/>
      </c>
    </row>
    <row r="317">
      <c r="A317" s="10">
        <f>Raw_Data!A317</f>
        <v/>
      </c>
      <c r="B317" s="11">
        <f>Raw_Data!B317</f>
        <v/>
      </c>
      <c r="C317" s="11">
        <f>Raw_Data!C317</f>
        <v/>
      </c>
      <c r="D317" s="10">
        <f>Raw_Data!D317</f>
        <v/>
      </c>
      <c r="E317" s="10">
        <f>Raw_Data!E317</f>
        <v/>
      </c>
      <c r="F317" s="11">
        <f>Raw_Data!F317</f>
        <v/>
      </c>
      <c r="G317" s="11">
        <f>Raw_Data!G317</f>
        <v/>
      </c>
      <c r="H317" s="10">
        <f>Raw_Data!H317</f>
        <v/>
      </c>
      <c r="I317" s="10">
        <f>Raw_Data!I317</f>
        <v/>
      </c>
      <c r="J317" s="11">
        <f>Raw_Data!J317</f>
        <v/>
      </c>
      <c r="K317" s="11">
        <f>Raw_Data!K317</f>
        <v/>
      </c>
      <c r="L317" s="11">
        <f>Raw_Data!L317</f>
        <v/>
      </c>
      <c r="M317" s="10">
        <f>Raw_Data!M317</f>
        <v/>
      </c>
      <c r="N317" s="10">
        <f>Raw_Data!N317</f>
        <v/>
      </c>
      <c r="O317" s="10">
        <f>Raw_Data!O317</f>
        <v/>
      </c>
      <c r="P317" s="11">
        <f>Raw_Data!P317</f>
        <v/>
      </c>
      <c r="R317" s="9">
        <f>IFERROR(Cleaned_Data!M317/Cleaned_Data!K317,0)</f>
        <v/>
      </c>
    </row>
    <row r="318">
      <c r="A318" s="7">
        <f>Raw_Data!A318</f>
        <v/>
      </c>
      <c r="B318" s="8">
        <f>Raw_Data!B318</f>
        <v/>
      </c>
      <c r="C318" s="8">
        <f>Raw_Data!C318</f>
        <v/>
      </c>
      <c r="D318" s="7">
        <f>Raw_Data!D318</f>
        <v/>
      </c>
      <c r="E318" s="7">
        <f>Raw_Data!E318</f>
        <v/>
      </c>
      <c r="F318" s="8">
        <f>Raw_Data!F318</f>
        <v/>
      </c>
      <c r="G318" s="8">
        <f>Raw_Data!G318</f>
        <v/>
      </c>
      <c r="H318" s="7">
        <f>Raw_Data!H318</f>
        <v/>
      </c>
      <c r="I318" s="7">
        <f>Raw_Data!I318</f>
        <v/>
      </c>
      <c r="J318" s="8">
        <f>Raw_Data!J318</f>
        <v/>
      </c>
      <c r="K318" s="8">
        <f>Raw_Data!K318</f>
        <v/>
      </c>
      <c r="L318" s="8">
        <f>Raw_Data!L318</f>
        <v/>
      </c>
      <c r="M318" s="7">
        <f>Raw_Data!M318</f>
        <v/>
      </c>
      <c r="N318" s="7">
        <f>Raw_Data!N318</f>
        <v/>
      </c>
      <c r="O318" s="7">
        <f>Raw_Data!O318</f>
        <v/>
      </c>
      <c r="P318" s="8">
        <f>Raw_Data!P318</f>
        <v/>
      </c>
      <c r="R318" s="9">
        <f>IFERROR(Cleaned_Data!M318/Cleaned_Data!K318,0)</f>
        <v/>
      </c>
    </row>
    <row r="319">
      <c r="A319" s="10">
        <f>Raw_Data!A319</f>
        <v/>
      </c>
      <c r="B319" s="11">
        <f>Raw_Data!B319</f>
        <v/>
      </c>
      <c r="C319" s="11">
        <f>Raw_Data!C319</f>
        <v/>
      </c>
      <c r="D319" s="10">
        <f>Raw_Data!D319</f>
        <v/>
      </c>
      <c r="E319" s="10">
        <f>Raw_Data!E319</f>
        <v/>
      </c>
      <c r="F319" s="11">
        <f>Raw_Data!F319</f>
        <v/>
      </c>
      <c r="G319" s="11">
        <f>Raw_Data!G319</f>
        <v/>
      </c>
      <c r="H319" s="10">
        <f>Raw_Data!H319</f>
        <v/>
      </c>
      <c r="I319" s="10">
        <f>Raw_Data!I319</f>
        <v/>
      </c>
      <c r="J319" s="11">
        <f>Raw_Data!J319</f>
        <v/>
      </c>
      <c r="K319" s="11">
        <f>Raw_Data!K319</f>
        <v/>
      </c>
      <c r="L319" s="11">
        <f>Raw_Data!L319</f>
        <v/>
      </c>
      <c r="M319" s="10">
        <f>Raw_Data!M319</f>
        <v/>
      </c>
      <c r="N319" s="10">
        <f>Raw_Data!N319</f>
        <v/>
      </c>
      <c r="O319" s="10">
        <f>Raw_Data!O319</f>
        <v/>
      </c>
      <c r="P319" s="11">
        <f>Raw_Data!P319</f>
        <v/>
      </c>
      <c r="R319" s="9">
        <f>IFERROR(Cleaned_Data!M319/Cleaned_Data!K319,0)</f>
        <v/>
      </c>
    </row>
    <row r="320">
      <c r="A320" s="7">
        <f>Raw_Data!A320</f>
        <v/>
      </c>
      <c r="B320" s="8">
        <f>Raw_Data!B320</f>
        <v/>
      </c>
      <c r="C320" s="8">
        <f>Raw_Data!C320</f>
        <v/>
      </c>
      <c r="D320" s="7">
        <f>Raw_Data!D320</f>
        <v/>
      </c>
      <c r="E320" s="7">
        <f>Raw_Data!E320</f>
        <v/>
      </c>
      <c r="F320" s="8">
        <f>Raw_Data!F320</f>
        <v/>
      </c>
      <c r="G320" s="8">
        <f>Raw_Data!G320</f>
        <v/>
      </c>
      <c r="H320" s="7">
        <f>Raw_Data!H320</f>
        <v/>
      </c>
      <c r="I320" s="7">
        <f>Raw_Data!I320</f>
        <v/>
      </c>
      <c r="J320" s="8">
        <f>Raw_Data!J320</f>
        <v/>
      </c>
      <c r="K320" s="8">
        <f>Raw_Data!K320</f>
        <v/>
      </c>
      <c r="L320" s="8">
        <f>Raw_Data!L320</f>
        <v/>
      </c>
      <c r="M320" s="7">
        <f>Raw_Data!M320</f>
        <v/>
      </c>
      <c r="N320" s="7">
        <f>Raw_Data!N320</f>
        <v/>
      </c>
      <c r="O320" s="7">
        <f>Raw_Data!O320</f>
        <v/>
      </c>
      <c r="P320" s="8">
        <f>Raw_Data!P320</f>
        <v/>
      </c>
      <c r="R320" s="9">
        <f>IFERROR(Cleaned_Data!M320/Cleaned_Data!K320,0)</f>
        <v/>
      </c>
    </row>
    <row r="321">
      <c r="A321" s="10">
        <f>Raw_Data!A321</f>
        <v/>
      </c>
      <c r="B321" s="11">
        <f>Raw_Data!B321</f>
        <v/>
      </c>
      <c r="C321" s="11">
        <f>Raw_Data!C321</f>
        <v/>
      </c>
      <c r="D321" s="10">
        <f>Raw_Data!D321</f>
        <v/>
      </c>
      <c r="E321" s="10">
        <f>Raw_Data!E321</f>
        <v/>
      </c>
      <c r="F321" s="11">
        <f>Raw_Data!F321</f>
        <v/>
      </c>
      <c r="G321" s="11">
        <f>Raw_Data!G321</f>
        <v/>
      </c>
      <c r="H321" s="10">
        <f>Raw_Data!H321</f>
        <v/>
      </c>
      <c r="I321" s="10">
        <f>Raw_Data!I321</f>
        <v/>
      </c>
      <c r="J321" s="11">
        <f>Raw_Data!J321</f>
        <v/>
      </c>
      <c r="K321" s="11">
        <f>Raw_Data!K321</f>
        <v/>
      </c>
      <c r="L321" s="11">
        <f>Raw_Data!L321</f>
        <v/>
      </c>
      <c r="M321" s="10">
        <f>Raw_Data!M321</f>
        <v/>
      </c>
      <c r="N321" s="10">
        <f>Raw_Data!N321</f>
        <v/>
      </c>
      <c r="O321" s="10">
        <f>Raw_Data!O321</f>
        <v/>
      </c>
      <c r="P321" s="11">
        <f>Raw_Data!P321</f>
        <v/>
      </c>
      <c r="R321" s="9">
        <f>IFERROR(Cleaned_Data!M321/Cleaned_Data!K321,0)</f>
        <v/>
      </c>
    </row>
    <row r="322">
      <c r="A322" s="7">
        <f>Raw_Data!A322</f>
        <v/>
      </c>
      <c r="B322" s="8">
        <f>Raw_Data!B322</f>
        <v/>
      </c>
      <c r="C322" s="8">
        <f>Raw_Data!C322</f>
        <v/>
      </c>
      <c r="D322" s="7">
        <f>Raw_Data!D322</f>
        <v/>
      </c>
      <c r="E322" s="7">
        <f>Raw_Data!E322</f>
        <v/>
      </c>
      <c r="F322" s="8">
        <f>Raw_Data!F322</f>
        <v/>
      </c>
      <c r="G322" s="8">
        <f>Raw_Data!G322</f>
        <v/>
      </c>
      <c r="H322" s="7">
        <f>Raw_Data!H322</f>
        <v/>
      </c>
      <c r="I322" s="7">
        <f>Raw_Data!I322</f>
        <v/>
      </c>
      <c r="J322" s="8">
        <f>Raw_Data!J322</f>
        <v/>
      </c>
      <c r="K322" s="8">
        <f>Raw_Data!K322</f>
        <v/>
      </c>
      <c r="L322" s="8">
        <f>Raw_Data!L322</f>
        <v/>
      </c>
      <c r="M322" s="7">
        <f>Raw_Data!M322</f>
        <v/>
      </c>
      <c r="N322" s="7">
        <f>Raw_Data!N322</f>
        <v/>
      </c>
      <c r="O322" s="7">
        <f>Raw_Data!O322</f>
        <v/>
      </c>
      <c r="P322" s="8">
        <f>Raw_Data!P322</f>
        <v/>
      </c>
      <c r="R322" s="9">
        <f>IFERROR(Cleaned_Data!M322/Cleaned_Data!K322,0)</f>
        <v/>
      </c>
    </row>
    <row r="323">
      <c r="A323" s="10">
        <f>Raw_Data!A323</f>
        <v/>
      </c>
      <c r="B323" s="11">
        <f>Raw_Data!B323</f>
        <v/>
      </c>
      <c r="C323" s="11">
        <f>Raw_Data!C323</f>
        <v/>
      </c>
      <c r="D323" s="10">
        <f>Raw_Data!D323</f>
        <v/>
      </c>
      <c r="E323" s="10">
        <f>Raw_Data!E323</f>
        <v/>
      </c>
      <c r="F323" s="11">
        <f>Raw_Data!F323</f>
        <v/>
      </c>
      <c r="G323" s="11">
        <f>Raw_Data!G323</f>
        <v/>
      </c>
      <c r="H323" s="10">
        <f>Raw_Data!H323</f>
        <v/>
      </c>
      <c r="I323" s="10">
        <f>Raw_Data!I323</f>
        <v/>
      </c>
      <c r="J323" s="11">
        <f>Raw_Data!J323</f>
        <v/>
      </c>
      <c r="K323" s="11">
        <f>Raw_Data!K323</f>
        <v/>
      </c>
      <c r="L323" s="11">
        <f>Raw_Data!L323</f>
        <v/>
      </c>
      <c r="M323" s="10">
        <f>Raw_Data!M323</f>
        <v/>
      </c>
      <c r="N323" s="10">
        <f>Raw_Data!N323</f>
        <v/>
      </c>
      <c r="O323" s="10">
        <f>Raw_Data!O323</f>
        <v/>
      </c>
      <c r="P323" s="11">
        <f>Raw_Data!P323</f>
        <v/>
      </c>
      <c r="R323" s="9">
        <f>IFERROR(Cleaned_Data!M323/Cleaned_Data!K323,0)</f>
        <v/>
      </c>
    </row>
    <row r="324">
      <c r="A324" s="7">
        <f>Raw_Data!A324</f>
        <v/>
      </c>
      <c r="B324" s="8">
        <f>Raw_Data!B324</f>
        <v/>
      </c>
      <c r="C324" s="8">
        <f>Raw_Data!C324</f>
        <v/>
      </c>
      <c r="D324" s="7">
        <f>Raw_Data!D324</f>
        <v/>
      </c>
      <c r="E324" s="7">
        <f>Raw_Data!E324</f>
        <v/>
      </c>
      <c r="F324" s="8">
        <f>Raw_Data!F324</f>
        <v/>
      </c>
      <c r="G324" s="8">
        <f>Raw_Data!G324</f>
        <v/>
      </c>
      <c r="H324" s="7">
        <f>Raw_Data!H324</f>
        <v/>
      </c>
      <c r="I324" s="7">
        <f>Raw_Data!I324</f>
        <v/>
      </c>
      <c r="J324" s="8">
        <f>Raw_Data!J324</f>
        <v/>
      </c>
      <c r="K324" s="8">
        <f>Raw_Data!K324</f>
        <v/>
      </c>
      <c r="L324" s="8">
        <f>Raw_Data!L324</f>
        <v/>
      </c>
      <c r="M324" s="7">
        <f>Raw_Data!M324</f>
        <v/>
      </c>
      <c r="N324" s="7">
        <f>Raw_Data!N324</f>
        <v/>
      </c>
      <c r="O324" s="7">
        <f>Raw_Data!O324</f>
        <v/>
      </c>
      <c r="P324" s="8">
        <f>Raw_Data!P324</f>
        <v/>
      </c>
      <c r="R324" s="9">
        <f>IFERROR(Cleaned_Data!M324/Cleaned_Data!K324,0)</f>
        <v/>
      </c>
    </row>
    <row r="325">
      <c r="A325" s="10">
        <f>Raw_Data!A325</f>
        <v/>
      </c>
      <c r="B325" s="11">
        <f>Raw_Data!B325</f>
        <v/>
      </c>
      <c r="C325" s="11">
        <f>Raw_Data!C325</f>
        <v/>
      </c>
      <c r="D325" s="10">
        <f>Raw_Data!D325</f>
        <v/>
      </c>
      <c r="E325" s="10">
        <f>Raw_Data!E325</f>
        <v/>
      </c>
      <c r="F325" s="11">
        <f>Raw_Data!F325</f>
        <v/>
      </c>
      <c r="G325" s="11">
        <f>Raw_Data!G325</f>
        <v/>
      </c>
      <c r="H325" s="10">
        <f>Raw_Data!H325</f>
        <v/>
      </c>
      <c r="I325" s="10">
        <f>Raw_Data!I325</f>
        <v/>
      </c>
      <c r="J325" s="11">
        <f>Raw_Data!J325</f>
        <v/>
      </c>
      <c r="K325" s="11">
        <f>Raw_Data!K325</f>
        <v/>
      </c>
      <c r="L325" s="11">
        <f>Raw_Data!L325</f>
        <v/>
      </c>
      <c r="M325" s="10">
        <f>Raw_Data!M325</f>
        <v/>
      </c>
      <c r="N325" s="10">
        <f>Raw_Data!N325</f>
        <v/>
      </c>
      <c r="O325" s="10">
        <f>Raw_Data!O325</f>
        <v/>
      </c>
      <c r="P325" s="11">
        <f>Raw_Data!P325</f>
        <v/>
      </c>
      <c r="R325" s="9">
        <f>IFERROR(Cleaned_Data!M325/Cleaned_Data!K325,0)</f>
        <v/>
      </c>
    </row>
    <row r="326">
      <c r="A326" s="7">
        <f>Raw_Data!A326</f>
        <v/>
      </c>
      <c r="B326" s="8">
        <f>Raw_Data!B326</f>
        <v/>
      </c>
      <c r="C326" s="8">
        <f>Raw_Data!C326</f>
        <v/>
      </c>
      <c r="D326" s="7">
        <f>Raw_Data!D326</f>
        <v/>
      </c>
      <c r="E326" s="7">
        <f>Raw_Data!E326</f>
        <v/>
      </c>
      <c r="F326" s="8">
        <f>Raw_Data!F326</f>
        <v/>
      </c>
      <c r="G326" s="8">
        <f>Raw_Data!G326</f>
        <v/>
      </c>
      <c r="H326" s="7">
        <f>Raw_Data!H326</f>
        <v/>
      </c>
      <c r="I326" s="7">
        <f>Raw_Data!I326</f>
        <v/>
      </c>
      <c r="J326" s="8">
        <f>Raw_Data!J326</f>
        <v/>
      </c>
      <c r="K326" s="8">
        <f>Raw_Data!K326</f>
        <v/>
      </c>
      <c r="L326" s="8">
        <f>Raw_Data!L326</f>
        <v/>
      </c>
      <c r="M326" s="7">
        <f>Raw_Data!M326</f>
        <v/>
      </c>
      <c r="N326" s="7">
        <f>Raw_Data!N326</f>
        <v/>
      </c>
      <c r="O326" s="7">
        <f>Raw_Data!O326</f>
        <v/>
      </c>
      <c r="P326" s="8">
        <f>Raw_Data!P326</f>
        <v/>
      </c>
      <c r="R326" s="9">
        <f>IFERROR(Cleaned_Data!M326/Cleaned_Data!K326,0)</f>
        <v/>
      </c>
    </row>
    <row r="327">
      <c r="A327" s="10">
        <f>Raw_Data!A327</f>
        <v/>
      </c>
      <c r="B327" s="11">
        <f>Raw_Data!B327</f>
        <v/>
      </c>
      <c r="C327" s="11">
        <f>Raw_Data!C327</f>
        <v/>
      </c>
      <c r="D327" s="10">
        <f>Raw_Data!D327</f>
        <v/>
      </c>
      <c r="E327" s="10">
        <f>Raw_Data!E327</f>
        <v/>
      </c>
      <c r="F327" s="11">
        <f>Raw_Data!F327</f>
        <v/>
      </c>
      <c r="G327" s="11">
        <f>Raw_Data!G327</f>
        <v/>
      </c>
      <c r="H327" s="10">
        <f>Raw_Data!H327</f>
        <v/>
      </c>
      <c r="I327" s="10">
        <f>Raw_Data!I327</f>
        <v/>
      </c>
      <c r="J327" s="11">
        <f>Raw_Data!J327</f>
        <v/>
      </c>
      <c r="K327" s="11">
        <f>Raw_Data!K327</f>
        <v/>
      </c>
      <c r="L327" s="11">
        <f>Raw_Data!L327</f>
        <v/>
      </c>
      <c r="M327" s="10">
        <f>Raw_Data!M327</f>
        <v/>
      </c>
      <c r="N327" s="10">
        <f>Raw_Data!N327</f>
        <v/>
      </c>
      <c r="O327" s="10">
        <f>Raw_Data!O327</f>
        <v/>
      </c>
      <c r="P327" s="11">
        <f>Raw_Data!P327</f>
        <v/>
      </c>
      <c r="R327" s="9">
        <f>IFERROR(Cleaned_Data!M327/Cleaned_Data!K327,0)</f>
        <v/>
      </c>
    </row>
    <row r="328">
      <c r="A328" s="7">
        <f>Raw_Data!A328</f>
        <v/>
      </c>
      <c r="B328" s="8">
        <f>Raw_Data!B328</f>
        <v/>
      </c>
      <c r="C328" s="8">
        <f>Raw_Data!C328</f>
        <v/>
      </c>
      <c r="D328" s="7">
        <f>Raw_Data!D328</f>
        <v/>
      </c>
      <c r="E328" s="7">
        <f>Raw_Data!E328</f>
        <v/>
      </c>
      <c r="F328" s="8">
        <f>Raw_Data!F328</f>
        <v/>
      </c>
      <c r="G328" s="8">
        <f>Raw_Data!G328</f>
        <v/>
      </c>
      <c r="H328" s="7">
        <f>Raw_Data!H328</f>
        <v/>
      </c>
      <c r="I328" s="7">
        <f>Raw_Data!I328</f>
        <v/>
      </c>
      <c r="J328" s="8">
        <f>Raw_Data!J328</f>
        <v/>
      </c>
      <c r="K328" s="8">
        <f>Raw_Data!K328</f>
        <v/>
      </c>
      <c r="L328" s="8">
        <f>Raw_Data!L328</f>
        <v/>
      </c>
      <c r="M328" s="7">
        <f>Raw_Data!M328</f>
        <v/>
      </c>
      <c r="N328" s="7">
        <f>Raw_Data!N328</f>
        <v/>
      </c>
      <c r="O328" s="7">
        <f>Raw_Data!O328</f>
        <v/>
      </c>
      <c r="P328" s="8">
        <f>Raw_Data!P328</f>
        <v/>
      </c>
      <c r="R328" s="9">
        <f>IFERROR(Cleaned_Data!M328/Cleaned_Data!K328,0)</f>
        <v/>
      </c>
    </row>
    <row r="329">
      <c r="A329" s="10">
        <f>Raw_Data!A329</f>
        <v/>
      </c>
      <c r="B329" s="11">
        <f>Raw_Data!B329</f>
        <v/>
      </c>
      <c r="C329" s="11">
        <f>Raw_Data!C329</f>
        <v/>
      </c>
      <c r="D329" s="10">
        <f>Raw_Data!D329</f>
        <v/>
      </c>
      <c r="E329" s="10">
        <f>Raw_Data!E329</f>
        <v/>
      </c>
      <c r="F329" s="11">
        <f>Raw_Data!F329</f>
        <v/>
      </c>
      <c r="G329" s="11">
        <f>Raw_Data!G329</f>
        <v/>
      </c>
      <c r="H329" s="10">
        <f>Raw_Data!H329</f>
        <v/>
      </c>
      <c r="I329" s="10">
        <f>Raw_Data!I329</f>
        <v/>
      </c>
      <c r="J329" s="11">
        <f>Raw_Data!J329</f>
        <v/>
      </c>
      <c r="K329" s="11">
        <f>Raw_Data!K329</f>
        <v/>
      </c>
      <c r="L329" s="11">
        <f>Raw_Data!L329</f>
        <v/>
      </c>
      <c r="M329" s="10">
        <f>Raw_Data!M329</f>
        <v/>
      </c>
      <c r="N329" s="10">
        <f>Raw_Data!N329</f>
        <v/>
      </c>
      <c r="O329" s="10">
        <f>Raw_Data!O329</f>
        <v/>
      </c>
      <c r="P329" s="11">
        <f>Raw_Data!P329</f>
        <v/>
      </c>
      <c r="R329" s="9">
        <f>IFERROR(Cleaned_Data!M329/Cleaned_Data!K329,0)</f>
        <v/>
      </c>
    </row>
    <row r="330">
      <c r="A330" s="7">
        <f>Raw_Data!A330</f>
        <v/>
      </c>
      <c r="B330" s="8">
        <f>Raw_Data!B330</f>
        <v/>
      </c>
      <c r="C330" s="8">
        <f>Raw_Data!C330</f>
        <v/>
      </c>
      <c r="D330" s="7">
        <f>Raw_Data!D330</f>
        <v/>
      </c>
      <c r="E330" s="7">
        <f>Raw_Data!E330</f>
        <v/>
      </c>
      <c r="F330" s="8">
        <f>Raw_Data!F330</f>
        <v/>
      </c>
      <c r="G330" s="8">
        <f>Raw_Data!G330</f>
        <v/>
      </c>
      <c r="H330" s="7">
        <f>Raw_Data!H330</f>
        <v/>
      </c>
      <c r="I330" s="7">
        <f>Raw_Data!I330</f>
        <v/>
      </c>
      <c r="J330" s="8">
        <f>Raw_Data!J330</f>
        <v/>
      </c>
      <c r="K330" s="8">
        <f>Raw_Data!K330</f>
        <v/>
      </c>
      <c r="L330" s="8">
        <f>Raw_Data!L330</f>
        <v/>
      </c>
      <c r="M330" s="7">
        <f>Raw_Data!M330</f>
        <v/>
      </c>
      <c r="N330" s="7">
        <f>Raw_Data!N330</f>
        <v/>
      </c>
      <c r="O330" s="7">
        <f>Raw_Data!O330</f>
        <v/>
      </c>
      <c r="P330" s="8">
        <f>Raw_Data!P330</f>
        <v/>
      </c>
      <c r="R330" s="9">
        <f>IFERROR(Cleaned_Data!M330/Cleaned_Data!K330,0)</f>
        <v/>
      </c>
    </row>
    <row r="331">
      <c r="A331" s="10">
        <f>Raw_Data!A331</f>
        <v/>
      </c>
      <c r="B331" s="11">
        <f>Raw_Data!B331</f>
        <v/>
      </c>
      <c r="C331" s="11">
        <f>Raw_Data!C331</f>
        <v/>
      </c>
      <c r="D331" s="10">
        <f>Raw_Data!D331</f>
        <v/>
      </c>
      <c r="E331" s="10">
        <f>Raw_Data!E331</f>
        <v/>
      </c>
      <c r="F331" s="11">
        <f>Raw_Data!F331</f>
        <v/>
      </c>
      <c r="G331" s="11">
        <f>Raw_Data!G331</f>
        <v/>
      </c>
      <c r="H331" s="10">
        <f>Raw_Data!H331</f>
        <v/>
      </c>
      <c r="I331" s="10">
        <f>Raw_Data!I331</f>
        <v/>
      </c>
      <c r="J331" s="11">
        <f>Raw_Data!J331</f>
        <v/>
      </c>
      <c r="K331" s="11">
        <f>Raw_Data!K331</f>
        <v/>
      </c>
      <c r="L331" s="11">
        <f>Raw_Data!L331</f>
        <v/>
      </c>
      <c r="M331" s="10">
        <f>Raw_Data!M331</f>
        <v/>
      </c>
      <c r="N331" s="10">
        <f>Raw_Data!N331</f>
        <v/>
      </c>
      <c r="O331" s="10">
        <f>Raw_Data!O331</f>
        <v/>
      </c>
      <c r="P331" s="11">
        <f>Raw_Data!P331</f>
        <v/>
      </c>
      <c r="R331" s="9">
        <f>IFERROR(Cleaned_Data!M331/Cleaned_Data!K331,0)</f>
        <v/>
      </c>
    </row>
    <row r="332">
      <c r="A332" s="7">
        <f>Raw_Data!A332</f>
        <v/>
      </c>
      <c r="B332" s="8">
        <f>Raw_Data!B332</f>
        <v/>
      </c>
      <c r="C332" s="8">
        <f>Raw_Data!C332</f>
        <v/>
      </c>
      <c r="D332" s="7">
        <f>Raw_Data!D332</f>
        <v/>
      </c>
      <c r="E332" s="7">
        <f>Raw_Data!E332</f>
        <v/>
      </c>
      <c r="F332" s="8">
        <f>Raw_Data!F332</f>
        <v/>
      </c>
      <c r="G332" s="8">
        <f>Raw_Data!G332</f>
        <v/>
      </c>
      <c r="H332" s="7">
        <f>Raw_Data!H332</f>
        <v/>
      </c>
      <c r="I332" s="7">
        <f>Raw_Data!I332</f>
        <v/>
      </c>
      <c r="J332" s="8">
        <f>Raw_Data!J332</f>
        <v/>
      </c>
      <c r="K332" s="8">
        <f>Raw_Data!K332</f>
        <v/>
      </c>
      <c r="L332" s="8">
        <f>Raw_Data!L332</f>
        <v/>
      </c>
      <c r="M332" s="7">
        <f>Raw_Data!M332</f>
        <v/>
      </c>
      <c r="N332" s="7">
        <f>Raw_Data!N332</f>
        <v/>
      </c>
      <c r="O332" s="7">
        <f>Raw_Data!O332</f>
        <v/>
      </c>
      <c r="P332" s="8">
        <f>Raw_Data!P332</f>
        <v/>
      </c>
      <c r="R332" s="9">
        <f>IFERROR(Cleaned_Data!M332/Cleaned_Data!K332,0)</f>
        <v/>
      </c>
    </row>
    <row r="333">
      <c r="A333" s="10">
        <f>Raw_Data!A333</f>
        <v/>
      </c>
      <c r="B333" s="11">
        <f>Raw_Data!B333</f>
        <v/>
      </c>
      <c r="C333" s="11">
        <f>Raw_Data!C333</f>
        <v/>
      </c>
      <c r="D333" s="10">
        <f>Raw_Data!D333</f>
        <v/>
      </c>
      <c r="E333" s="10">
        <f>Raw_Data!E333</f>
        <v/>
      </c>
      <c r="F333" s="11">
        <f>Raw_Data!F333</f>
        <v/>
      </c>
      <c r="G333" s="11">
        <f>Raw_Data!G333</f>
        <v/>
      </c>
      <c r="H333" s="10">
        <f>Raw_Data!H333</f>
        <v/>
      </c>
      <c r="I333" s="10">
        <f>Raw_Data!I333</f>
        <v/>
      </c>
      <c r="J333" s="11">
        <f>Raw_Data!J333</f>
        <v/>
      </c>
      <c r="K333" s="11">
        <f>Raw_Data!K333</f>
        <v/>
      </c>
      <c r="L333" s="11">
        <f>Raw_Data!L333</f>
        <v/>
      </c>
      <c r="M333" s="10">
        <f>Raw_Data!M333</f>
        <v/>
      </c>
      <c r="N333" s="10">
        <f>Raw_Data!N333</f>
        <v/>
      </c>
      <c r="O333" s="10">
        <f>Raw_Data!O333</f>
        <v/>
      </c>
      <c r="P333" s="11">
        <f>Raw_Data!P333</f>
        <v/>
      </c>
      <c r="R333" s="9">
        <f>IFERROR(Cleaned_Data!M333/Cleaned_Data!K333,0)</f>
        <v/>
      </c>
    </row>
    <row r="334">
      <c r="A334" s="7">
        <f>Raw_Data!A334</f>
        <v/>
      </c>
      <c r="B334" s="8">
        <f>Raw_Data!B334</f>
        <v/>
      </c>
      <c r="C334" s="8">
        <f>Raw_Data!C334</f>
        <v/>
      </c>
      <c r="D334" s="7">
        <f>Raw_Data!D334</f>
        <v/>
      </c>
      <c r="E334" s="7">
        <f>Raw_Data!E334</f>
        <v/>
      </c>
      <c r="F334" s="8">
        <f>Raw_Data!F334</f>
        <v/>
      </c>
      <c r="G334" s="8">
        <f>Raw_Data!G334</f>
        <v/>
      </c>
      <c r="H334" s="7">
        <f>Raw_Data!H334</f>
        <v/>
      </c>
      <c r="I334" s="7">
        <f>Raw_Data!I334</f>
        <v/>
      </c>
      <c r="J334" s="8">
        <f>Raw_Data!J334</f>
        <v/>
      </c>
      <c r="K334" s="8">
        <f>Raw_Data!K334</f>
        <v/>
      </c>
      <c r="L334" s="8">
        <f>Raw_Data!L334</f>
        <v/>
      </c>
      <c r="M334" s="7">
        <f>Raw_Data!M334</f>
        <v/>
      </c>
      <c r="N334" s="7">
        <f>Raw_Data!N334</f>
        <v/>
      </c>
      <c r="O334" s="7">
        <f>Raw_Data!O334</f>
        <v/>
      </c>
      <c r="P334" s="8">
        <f>Raw_Data!P334</f>
        <v/>
      </c>
      <c r="R334" s="9">
        <f>IFERROR(Cleaned_Data!M334/Cleaned_Data!K334,0)</f>
        <v/>
      </c>
    </row>
    <row r="335">
      <c r="A335" s="10">
        <f>Raw_Data!A335</f>
        <v/>
      </c>
      <c r="B335" s="11">
        <f>Raw_Data!B335</f>
        <v/>
      </c>
      <c r="C335" s="11">
        <f>Raw_Data!C335</f>
        <v/>
      </c>
      <c r="D335" s="10">
        <f>Raw_Data!D335</f>
        <v/>
      </c>
      <c r="E335" s="10">
        <f>Raw_Data!E335</f>
        <v/>
      </c>
      <c r="F335" s="11">
        <f>Raw_Data!F335</f>
        <v/>
      </c>
      <c r="G335" s="11">
        <f>Raw_Data!G335</f>
        <v/>
      </c>
      <c r="H335" s="10">
        <f>Raw_Data!H335</f>
        <v/>
      </c>
      <c r="I335" s="10">
        <f>Raw_Data!I335</f>
        <v/>
      </c>
      <c r="J335" s="11">
        <f>Raw_Data!J335</f>
        <v/>
      </c>
      <c r="K335" s="11">
        <f>Raw_Data!K335</f>
        <v/>
      </c>
      <c r="L335" s="11">
        <f>Raw_Data!L335</f>
        <v/>
      </c>
      <c r="M335" s="10">
        <f>Raw_Data!M335</f>
        <v/>
      </c>
      <c r="N335" s="10">
        <f>Raw_Data!N335</f>
        <v/>
      </c>
      <c r="O335" s="10">
        <f>Raw_Data!O335</f>
        <v/>
      </c>
      <c r="P335" s="11">
        <f>Raw_Data!P335</f>
        <v/>
      </c>
      <c r="R335" s="9">
        <f>IFERROR(Cleaned_Data!M335/Cleaned_Data!K335,0)</f>
        <v/>
      </c>
    </row>
    <row r="336">
      <c r="A336" s="7">
        <f>Raw_Data!A336</f>
        <v/>
      </c>
      <c r="B336" s="8">
        <f>Raw_Data!B336</f>
        <v/>
      </c>
      <c r="C336" s="8">
        <f>Raw_Data!C336</f>
        <v/>
      </c>
      <c r="D336" s="7">
        <f>Raw_Data!D336</f>
        <v/>
      </c>
      <c r="E336" s="7">
        <f>Raw_Data!E336</f>
        <v/>
      </c>
      <c r="F336" s="8">
        <f>Raw_Data!F336</f>
        <v/>
      </c>
      <c r="G336" s="8">
        <f>Raw_Data!G336</f>
        <v/>
      </c>
      <c r="H336" s="7">
        <f>Raw_Data!H336</f>
        <v/>
      </c>
      <c r="I336" s="7">
        <f>Raw_Data!I336</f>
        <v/>
      </c>
      <c r="J336" s="8">
        <f>Raw_Data!J336</f>
        <v/>
      </c>
      <c r="K336" s="8">
        <f>Raw_Data!K336</f>
        <v/>
      </c>
      <c r="L336" s="8">
        <f>Raw_Data!L336</f>
        <v/>
      </c>
      <c r="M336" s="7">
        <f>Raw_Data!M336</f>
        <v/>
      </c>
      <c r="N336" s="7">
        <f>Raw_Data!N336</f>
        <v/>
      </c>
      <c r="O336" s="7">
        <f>Raw_Data!O336</f>
        <v/>
      </c>
      <c r="P336" s="8">
        <f>Raw_Data!P336</f>
        <v/>
      </c>
      <c r="R336" s="9">
        <f>IFERROR(Cleaned_Data!M336/Cleaned_Data!K336,0)</f>
        <v/>
      </c>
    </row>
    <row r="337">
      <c r="A337" s="10">
        <f>Raw_Data!A337</f>
        <v/>
      </c>
      <c r="B337" s="11">
        <f>Raw_Data!B337</f>
        <v/>
      </c>
      <c r="C337" s="11">
        <f>Raw_Data!C337</f>
        <v/>
      </c>
      <c r="D337" s="10">
        <f>Raw_Data!D337</f>
        <v/>
      </c>
      <c r="E337" s="10">
        <f>Raw_Data!E337</f>
        <v/>
      </c>
      <c r="F337" s="11">
        <f>Raw_Data!F337</f>
        <v/>
      </c>
      <c r="G337" s="11">
        <f>Raw_Data!G337</f>
        <v/>
      </c>
      <c r="H337" s="10">
        <f>Raw_Data!H337</f>
        <v/>
      </c>
      <c r="I337" s="10">
        <f>Raw_Data!I337</f>
        <v/>
      </c>
      <c r="J337" s="11">
        <f>Raw_Data!J337</f>
        <v/>
      </c>
      <c r="K337" s="11">
        <f>Raw_Data!K337</f>
        <v/>
      </c>
      <c r="L337" s="11">
        <f>Raw_Data!L337</f>
        <v/>
      </c>
      <c r="M337" s="10">
        <f>Raw_Data!M337</f>
        <v/>
      </c>
      <c r="N337" s="10">
        <f>Raw_Data!N337</f>
        <v/>
      </c>
      <c r="O337" s="10">
        <f>Raw_Data!O337</f>
        <v/>
      </c>
      <c r="P337" s="11">
        <f>Raw_Data!P337</f>
        <v/>
      </c>
      <c r="R337" s="9">
        <f>IFERROR(Cleaned_Data!M337/Cleaned_Data!K337,0)</f>
        <v/>
      </c>
    </row>
    <row r="338">
      <c r="A338" s="7">
        <f>Raw_Data!A338</f>
        <v/>
      </c>
      <c r="B338" s="8">
        <f>Raw_Data!B338</f>
        <v/>
      </c>
      <c r="C338" s="8">
        <f>Raw_Data!C338</f>
        <v/>
      </c>
      <c r="D338" s="7">
        <f>Raw_Data!D338</f>
        <v/>
      </c>
      <c r="E338" s="7">
        <f>Raw_Data!E338</f>
        <v/>
      </c>
      <c r="F338" s="8">
        <f>Raw_Data!F338</f>
        <v/>
      </c>
      <c r="G338" s="8">
        <f>Raw_Data!G338</f>
        <v/>
      </c>
      <c r="H338" s="7">
        <f>Raw_Data!H338</f>
        <v/>
      </c>
      <c r="I338" s="7">
        <f>Raw_Data!I338</f>
        <v/>
      </c>
      <c r="J338" s="8">
        <f>Raw_Data!J338</f>
        <v/>
      </c>
      <c r="K338" s="8">
        <f>Raw_Data!K338</f>
        <v/>
      </c>
      <c r="L338" s="8">
        <f>Raw_Data!L338</f>
        <v/>
      </c>
      <c r="M338" s="7">
        <f>Raw_Data!M338</f>
        <v/>
      </c>
      <c r="N338" s="7">
        <f>Raw_Data!N338</f>
        <v/>
      </c>
      <c r="O338" s="7">
        <f>Raw_Data!O338</f>
        <v/>
      </c>
      <c r="P338" s="8">
        <f>Raw_Data!P338</f>
        <v/>
      </c>
      <c r="R338" s="9">
        <f>IFERROR(Cleaned_Data!M338/Cleaned_Data!K338,0)</f>
        <v/>
      </c>
    </row>
    <row r="339">
      <c r="A339" s="10">
        <f>Raw_Data!A339</f>
        <v/>
      </c>
      <c r="B339" s="11">
        <f>Raw_Data!B339</f>
        <v/>
      </c>
      <c r="C339" s="11">
        <f>Raw_Data!C339</f>
        <v/>
      </c>
      <c r="D339" s="10">
        <f>Raw_Data!D339</f>
        <v/>
      </c>
      <c r="E339" s="10">
        <f>Raw_Data!E339</f>
        <v/>
      </c>
      <c r="F339" s="11">
        <f>Raw_Data!F339</f>
        <v/>
      </c>
      <c r="G339" s="11">
        <f>Raw_Data!G339</f>
        <v/>
      </c>
      <c r="H339" s="10">
        <f>Raw_Data!H339</f>
        <v/>
      </c>
      <c r="I339" s="10">
        <f>Raw_Data!I339</f>
        <v/>
      </c>
      <c r="J339" s="11">
        <f>Raw_Data!J339</f>
        <v/>
      </c>
      <c r="K339" s="11">
        <f>Raw_Data!K339</f>
        <v/>
      </c>
      <c r="L339" s="11">
        <f>Raw_Data!L339</f>
        <v/>
      </c>
      <c r="M339" s="10">
        <f>Raw_Data!M339</f>
        <v/>
      </c>
      <c r="N339" s="10">
        <f>Raw_Data!N339</f>
        <v/>
      </c>
      <c r="O339" s="10">
        <f>Raw_Data!O339</f>
        <v/>
      </c>
      <c r="P339" s="11">
        <f>Raw_Data!P339</f>
        <v/>
      </c>
      <c r="R339" s="9">
        <f>IFERROR(Cleaned_Data!M339/Cleaned_Data!K339,0)</f>
        <v/>
      </c>
    </row>
    <row r="340">
      <c r="A340" s="7">
        <f>Raw_Data!A340</f>
        <v/>
      </c>
      <c r="B340" s="8">
        <f>Raw_Data!B340</f>
        <v/>
      </c>
      <c r="C340" s="8">
        <f>Raw_Data!C340</f>
        <v/>
      </c>
      <c r="D340" s="7">
        <f>Raw_Data!D340</f>
        <v/>
      </c>
      <c r="E340" s="7">
        <f>Raw_Data!E340</f>
        <v/>
      </c>
      <c r="F340" s="8">
        <f>Raw_Data!F340</f>
        <v/>
      </c>
      <c r="G340" s="8">
        <f>Raw_Data!G340</f>
        <v/>
      </c>
      <c r="H340" s="7">
        <f>Raw_Data!H340</f>
        <v/>
      </c>
      <c r="I340" s="7">
        <f>Raw_Data!I340</f>
        <v/>
      </c>
      <c r="J340" s="8">
        <f>Raw_Data!J340</f>
        <v/>
      </c>
      <c r="K340" s="8">
        <f>Raw_Data!K340</f>
        <v/>
      </c>
      <c r="L340" s="8">
        <f>Raw_Data!L340</f>
        <v/>
      </c>
      <c r="M340" s="7">
        <f>Raw_Data!M340</f>
        <v/>
      </c>
      <c r="N340" s="7">
        <f>Raw_Data!N340</f>
        <v/>
      </c>
      <c r="O340" s="7">
        <f>Raw_Data!O340</f>
        <v/>
      </c>
      <c r="P340" s="8">
        <f>Raw_Data!P340</f>
        <v/>
      </c>
      <c r="R340" s="9">
        <f>IFERROR(Cleaned_Data!M340/Cleaned_Data!K340,0)</f>
        <v/>
      </c>
    </row>
    <row r="341">
      <c r="A341" s="10">
        <f>Raw_Data!A341</f>
        <v/>
      </c>
      <c r="B341" s="11">
        <f>Raw_Data!B341</f>
        <v/>
      </c>
      <c r="C341" s="11">
        <f>Raw_Data!C341</f>
        <v/>
      </c>
      <c r="D341" s="10">
        <f>Raw_Data!D341</f>
        <v/>
      </c>
      <c r="E341" s="10">
        <f>Raw_Data!E341</f>
        <v/>
      </c>
      <c r="F341" s="11">
        <f>Raw_Data!F341</f>
        <v/>
      </c>
      <c r="G341" s="11">
        <f>Raw_Data!G341</f>
        <v/>
      </c>
      <c r="H341" s="10">
        <f>Raw_Data!H341</f>
        <v/>
      </c>
      <c r="I341" s="10">
        <f>Raw_Data!I341</f>
        <v/>
      </c>
      <c r="J341" s="11">
        <f>Raw_Data!J341</f>
        <v/>
      </c>
      <c r="K341" s="11">
        <f>Raw_Data!K341</f>
        <v/>
      </c>
      <c r="L341" s="11">
        <f>Raw_Data!L341</f>
        <v/>
      </c>
      <c r="M341" s="10">
        <f>Raw_Data!M341</f>
        <v/>
      </c>
      <c r="N341" s="10">
        <f>Raw_Data!N341</f>
        <v/>
      </c>
      <c r="O341" s="10">
        <f>Raw_Data!O341</f>
        <v/>
      </c>
      <c r="P341" s="11">
        <f>Raw_Data!P341</f>
        <v/>
      </c>
      <c r="R341" s="9">
        <f>IFERROR(Cleaned_Data!M341/Cleaned_Data!K341,0)</f>
        <v/>
      </c>
    </row>
    <row r="342">
      <c r="A342" s="7">
        <f>Raw_Data!A342</f>
        <v/>
      </c>
      <c r="B342" s="8">
        <f>Raw_Data!B342</f>
        <v/>
      </c>
      <c r="C342" s="8">
        <f>Raw_Data!C342</f>
        <v/>
      </c>
      <c r="D342" s="7">
        <f>Raw_Data!D342</f>
        <v/>
      </c>
      <c r="E342" s="7">
        <f>Raw_Data!E342</f>
        <v/>
      </c>
      <c r="F342" s="8">
        <f>Raw_Data!F342</f>
        <v/>
      </c>
      <c r="G342" s="8">
        <f>Raw_Data!G342</f>
        <v/>
      </c>
      <c r="H342" s="7">
        <f>Raw_Data!H342</f>
        <v/>
      </c>
      <c r="I342" s="7">
        <f>Raw_Data!I342</f>
        <v/>
      </c>
      <c r="J342" s="8">
        <f>Raw_Data!J342</f>
        <v/>
      </c>
      <c r="K342" s="8">
        <f>Raw_Data!K342</f>
        <v/>
      </c>
      <c r="L342" s="8">
        <f>Raw_Data!L342</f>
        <v/>
      </c>
      <c r="M342" s="7">
        <f>Raw_Data!M342</f>
        <v/>
      </c>
      <c r="N342" s="7">
        <f>Raw_Data!N342</f>
        <v/>
      </c>
      <c r="O342" s="7">
        <f>Raw_Data!O342</f>
        <v/>
      </c>
      <c r="P342" s="8">
        <f>Raw_Data!P342</f>
        <v/>
      </c>
      <c r="R342" s="9">
        <f>IFERROR(Cleaned_Data!M342/Cleaned_Data!K342,0)</f>
        <v/>
      </c>
    </row>
    <row r="343">
      <c r="A343" s="10">
        <f>Raw_Data!A343</f>
        <v/>
      </c>
      <c r="B343" s="11">
        <f>Raw_Data!B343</f>
        <v/>
      </c>
      <c r="C343" s="11">
        <f>Raw_Data!C343</f>
        <v/>
      </c>
      <c r="D343" s="10">
        <f>Raw_Data!D343</f>
        <v/>
      </c>
      <c r="E343" s="10">
        <f>Raw_Data!E343</f>
        <v/>
      </c>
      <c r="F343" s="11">
        <f>Raw_Data!F343</f>
        <v/>
      </c>
      <c r="G343" s="11">
        <f>Raw_Data!G343</f>
        <v/>
      </c>
      <c r="H343" s="10">
        <f>Raw_Data!H343</f>
        <v/>
      </c>
      <c r="I343" s="10">
        <f>Raw_Data!I343</f>
        <v/>
      </c>
      <c r="J343" s="11">
        <f>Raw_Data!J343</f>
        <v/>
      </c>
      <c r="K343" s="11">
        <f>Raw_Data!K343</f>
        <v/>
      </c>
      <c r="L343" s="11">
        <f>Raw_Data!L343</f>
        <v/>
      </c>
      <c r="M343" s="10">
        <f>Raw_Data!M343</f>
        <v/>
      </c>
      <c r="N343" s="10">
        <f>Raw_Data!N343</f>
        <v/>
      </c>
      <c r="O343" s="10">
        <f>Raw_Data!O343</f>
        <v/>
      </c>
      <c r="P343" s="11">
        <f>Raw_Data!P343</f>
        <v/>
      </c>
      <c r="R343" s="9">
        <f>IFERROR(Cleaned_Data!M343/Cleaned_Data!K343,0)</f>
        <v/>
      </c>
    </row>
    <row r="344">
      <c r="A344" s="7">
        <f>Raw_Data!A344</f>
        <v/>
      </c>
      <c r="B344" s="8">
        <f>Raw_Data!B344</f>
        <v/>
      </c>
      <c r="C344" s="8">
        <f>Raw_Data!C344</f>
        <v/>
      </c>
      <c r="D344" s="7">
        <f>Raw_Data!D344</f>
        <v/>
      </c>
      <c r="E344" s="7">
        <f>Raw_Data!E344</f>
        <v/>
      </c>
      <c r="F344" s="8">
        <f>Raw_Data!F344</f>
        <v/>
      </c>
      <c r="G344" s="8">
        <f>Raw_Data!G344</f>
        <v/>
      </c>
      <c r="H344" s="7">
        <f>Raw_Data!H344</f>
        <v/>
      </c>
      <c r="I344" s="7">
        <f>Raw_Data!I344</f>
        <v/>
      </c>
      <c r="J344" s="8">
        <f>Raw_Data!J344</f>
        <v/>
      </c>
      <c r="K344" s="8">
        <f>Raw_Data!K344</f>
        <v/>
      </c>
      <c r="L344" s="8">
        <f>Raw_Data!L344</f>
        <v/>
      </c>
      <c r="M344" s="7">
        <f>Raw_Data!M344</f>
        <v/>
      </c>
      <c r="N344" s="7">
        <f>Raw_Data!N344</f>
        <v/>
      </c>
      <c r="O344" s="7">
        <f>Raw_Data!O344</f>
        <v/>
      </c>
      <c r="P344" s="8">
        <f>Raw_Data!P344</f>
        <v/>
      </c>
      <c r="R344" s="9">
        <f>IFERROR(Cleaned_Data!M344/Cleaned_Data!K344,0)</f>
        <v/>
      </c>
    </row>
    <row r="345">
      <c r="A345" s="10">
        <f>Raw_Data!A345</f>
        <v/>
      </c>
      <c r="B345" s="11">
        <f>Raw_Data!B345</f>
        <v/>
      </c>
      <c r="C345" s="11">
        <f>Raw_Data!C345</f>
        <v/>
      </c>
      <c r="D345" s="10">
        <f>Raw_Data!D345</f>
        <v/>
      </c>
      <c r="E345" s="10">
        <f>Raw_Data!E345</f>
        <v/>
      </c>
      <c r="F345" s="11">
        <f>Raw_Data!F345</f>
        <v/>
      </c>
      <c r="G345" s="11">
        <f>Raw_Data!G345</f>
        <v/>
      </c>
      <c r="H345" s="10">
        <f>Raw_Data!H345</f>
        <v/>
      </c>
      <c r="I345" s="10">
        <f>Raw_Data!I345</f>
        <v/>
      </c>
      <c r="J345" s="11">
        <f>Raw_Data!J345</f>
        <v/>
      </c>
      <c r="K345" s="11">
        <f>Raw_Data!K345</f>
        <v/>
      </c>
      <c r="L345" s="11">
        <f>Raw_Data!L345</f>
        <v/>
      </c>
      <c r="M345" s="10">
        <f>Raw_Data!M345</f>
        <v/>
      </c>
      <c r="N345" s="10">
        <f>Raw_Data!N345</f>
        <v/>
      </c>
      <c r="O345" s="10">
        <f>Raw_Data!O345</f>
        <v/>
      </c>
      <c r="P345" s="11">
        <f>Raw_Data!P345</f>
        <v/>
      </c>
      <c r="R345" s="9">
        <f>IFERROR(Cleaned_Data!M345/Cleaned_Data!K345,0)</f>
        <v/>
      </c>
    </row>
    <row r="346">
      <c r="A346" s="7">
        <f>Raw_Data!A346</f>
        <v/>
      </c>
      <c r="B346" s="8">
        <f>Raw_Data!B346</f>
        <v/>
      </c>
      <c r="C346" s="8">
        <f>Raw_Data!C346</f>
        <v/>
      </c>
      <c r="D346" s="7">
        <f>Raw_Data!D346</f>
        <v/>
      </c>
      <c r="E346" s="7">
        <f>Raw_Data!E346</f>
        <v/>
      </c>
      <c r="F346" s="8">
        <f>Raw_Data!F346</f>
        <v/>
      </c>
      <c r="G346" s="8">
        <f>Raw_Data!G346</f>
        <v/>
      </c>
      <c r="H346" s="7">
        <f>Raw_Data!H346</f>
        <v/>
      </c>
      <c r="I346" s="7">
        <f>Raw_Data!I346</f>
        <v/>
      </c>
      <c r="J346" s="8">
        <f>Raw_Data!J346</f>
        <v/>
      </c>
      <c r="K346" s="8">
        <f>Raw_Data!K346</f>
        <v/>
      </c>
      <c r="L346" s="8">
        <f>Raw_Data!L346</f>
        <v/>
      </c>
      <c r="M346" s="7">
        <f>Raw_Data!M346</f>
        <v/>
      </c>
      <c r="N346" s="7">
        <f>Raw_Data!N346</f>
        <v/>
      </c>
      <c r="O346" s="7">
        <f>Raw_Data!O346</f>
        <v/>
      </c>
      <c r="P346" s="8">
        <f>Raw_Data!P346</f>
        <v/>
      </c>
      <c r="R346" s="9">
        <f>IFERROR(Cleaned_Data!M346/Cleaned_Data!K346,0)</f>
        <v/>
      </c>
    </row>
    <row r="347">
      <c r="A347" s="10">
        <f>Raw_Data!A347</f>
        <v/>
      </c>
      <c r="B347" s="11">
        <f>Raw_Data!B347</f>
        <v/>
      </c>
      <c r="C347" s="11">
        <f>Raw_Data!C347</f>
        <v/>
      </c>
      <c r="D347" s="10">
        <f>Raw_Data!D347</f>
        <v/>
      </c>
      <c r="E347" s="10">
        <f>Raw_Data!E347</f>
        <v/>
      </c>
      <c r="F347" s="11">
        <f>Raw_Data!F347</f>
        <v/>
      </c>
      <c r="G347" s="11">
        <f>Raw_Data!G347</f>
        <v/>
      </c>
      <c r="H347" s="10">
        <f>Raw_Data!H347</f>
        <v/>
      </c>
      <c r="I347" s="10">
        <f>Raw_Data!I347</f>
        <v/>
      </c>
      <c r="J347" s="11">
        <f>Raw_Data!J347</f>
        <v/>
      </c>
      <c r="K347" s="11">
        <f>Raw_Data!K347</f>
        <v/>
      </c>
      <c r="L347" s="11">
        <f>Raw_Data!L347</f>
        <v/>
      </c>
      <c r="M347" s="10">
        <f>Raw_Data!M347</f>
        <v/>
      </c>
      <c r="N347" s="10">
        <f>Raw_Data!N347</f>
        <v/>
      </c>
      <c r="O347" s="10">
        <f>Raw_Data!O347</f>
        <v/>
      </c>
      <c r="P347" s="11">
        <f>Raw_Data!P347</f>
        <v/>
      </c>
      <c r="R347" s="9">
        <f>IFERROR(Cleaned_Data!M347/Cleaned_Data!K347,0)</f>
        <v/>
      </c>
    </row>
    <row r="348">
      <c r="A348" s="7">
        <f>Raw_Data!A348</f>
        <v/>
      </c>
      <c r="B348" s="8">
        <f>Raw_Data!B348</f>
        <v/>
      </c>
      <c r="C348" s="8">
        <f>Raw_Data!C348</f>
        <v/>
      </c>
      <c r="D348" s="7">
        <f>Raw_Data!D348</f>
        <v/>
      </c>
      <c r="E348" s="7">
        <f>Raw_Data!E348</f>
        <v/>
      </c>
      <c r="F348" s="8">
        <f>Raw_Data!F348</f>
        <v/>
      </c>
      <c r="G348" s="8">
        <f>Raw_Data!G348</f>
        <v/>
      </c>
      <c r="H348" s="7">
        <f>Raw_Data!H348</f>
        <v/>
      </c>
      <c r="I348" s="7">
        <f>Raw_Data!I348</f>
        <v/>
      </c>
      <c r="J348" s="8">
        <f>Raw_Data!J348</f>
        <v/>
      </c>
      <c r="K348" s="8">
        <f>Raw_Data!K348</f>
        <v/>
      </c>
      <c r="L348" s="8">
        <f>Raw_Data!L348</f>
        <v/>
      </c>
      <c r="M348" s="7">
        <f>Raw_Data!M348</f>
        <v/>
      </c>
      <c r="N348" s="7">
        <f>Raw_Data!N348</f>
        <v/>
      </c>
      <c r="O348" s="7">
        <f>Raw_Data!O348</f>
        <v/>
      </c>
      <c r="P348" s="8">
        <f>Raw_Data!P348</f>
        <v/>
      </c>
      <c r="R348" s="9">
        <f>IFERROR(Cleaned_Data!M348/Cleaned_Data!K348,0)</f>
        <v/>
      </c>
    </row>
    <row r="349">
      <c r="A349" s="10">
        <f>Raw_Data!A349</f>
        <v/>
      </c>
      <c r="B349" s="11">
        <f>Raw_Data!B349</f>
        <v/>
      </c>
      <c r="C349" s="11">
        <f>Raw_Data!C349</f>
        <v/>
      </c>
      <c r="D349" s="10">
        <f>Raw_Data!D349</f>
        <v/>
      </c>
      <c r="E349" s="10">
        <f>Raw_Data!E349</f>
        <v/>
      </c>
      <c r="F349" s="11">
        <f>Raw_Data!F349</f>
        <v/>
      </c>
      <c r="G349" s="11">
        <f>Raw_Data!G349</f>
        <v/>
      </c>
      <c r="H349" s="10">
        <f>Raw_Data!H349</f>
        <v/>
      </c>
      <c r="I349" s="10">
        <f>Raw_Data!I349</f>
        <v/>
      </c>
      <c r="J349" s="11">
        <f>Raw_Data!J349</f>
        <v/>
      </c>
      <c r="K349" s="11">
        <f>Raw_Data!K349</f>
        <v/>
      </c>
      <c r="L349" s="11">
        <f>Raw_Data!L349</f>
        <v/>
      </c>
      <c r="M349" s="10">
        <f>Raw_Data!M349</f>
        <v/>
      </c>
      <c r="N349" s="10">
        <f>Raw_Data!N349</f>
        <v/>
      </c>
      <c r="O349" s="10">
        <f>Raw_Data!O349</f>
        <v/>
      </c>
      <c r="P349" s="11">
        <f>Raw_Data!P349</f>
        <v/>
      </c>
      <c r="R349" s="9">
        <f>IFERROR(Cleaned_Data!M349/Cleaned_Data!K349,0)</f>
        <v/>
      </c>
    </row>
    <row r="350">
      <c r="A350" s="7">
        <f>Raw_Data!A350</f>
        <v/>
      </c>
      <c r="B350" s="8">
        <f>Raw_Data!B350</f>
        <v/>
      </c>
      <c r="C350" s="8">
        <f>Raw_Data!C350</f>
        <v/>
      </c>
      <c r="D350" s="7">
        <f>Raw_Data!D350</f>
        <v/>
      </c>
      <c r="E350" s="7">
        <f>Raw_Data!E350</f>
        <v/>
      </c>
      <c r="F350" s="8">
        <f>Raw_Data!F350</f>
        <v/>
      </c>
      <c r="G350" s="8">
        <f>Raw_Data!G350</f>
        <v/>
      </c>
      <c r="H350" s="7">
        <f>Raw_Data!H350</f>
        <v/>
      </c>
      <c r="I350" s="7">
        <f>Raw_Data!I350</f>
        <v/>
      </c>
      <c r="J350" s="8">
        <f>Raw_Data!J350</f>
        <v/>
      </c>
      <c r="K350" s="8">
        <f>Raw_Data!K350</f>
        <v/>
      </c>
      <c r="L350" s="8">
        <f>Raw_Data!L350</f>
        <v/>
      </c>
      <c r="M350" s="7">
        <f>Raw_Data!M350</f>
        <v/>
      </c>
      <c r="N350" s="7">
        <f>Raw_Data!N350</f>
        <v/>
      </c>
      <c r="O350" s="7">
        <f>Raw_Data!O350</f>
        <v/>
      </c>
      <c r="P350" s="8">
        <f>Raw_Data!P350</f>
        <v/>
      </c>
      <c r="R350" s="9">
        <f>IFERROR(Cleaned_Data!M350/Cleaned_Data!K350,0)</f>
        <v/>
      </c>
    </row>
    <row r="351">
      <c r="A351" s="10">
        <f>Raw_Data!A351</f>
        <v/>
      </c>
      <c r="B351" s="11">
        <f>Raw_Data!B351</f>
        <v/>
      </c>
      <c r="C351" s="11">
        <f>Raw_Data!C351</f>
        <v/>
      </c>
      <c r="D351" s="10">
        <f>Raw_Data!D351</f>
        <v/>
      </c>
      <c r="E351" s="10">
        <f>Raw_Data!E351</f>
        <v/>
      </c>
      <c r="F351" s="11">
        <f>Raw_Data!F351</f>
        <v/>
      </c>
      <c r="G351" s="11">
        <f>Raw_Data!G351</f>
        <v/>
      </c>
      <c r="H351" s="10">
        <f>Raw_Data!H351</f>
        <v/>
      </c>
      <c r="I351" s="10">
        <f>Raw_Data!I351</f>
        <v/>
      </c>
      <c r="J351" s="11">
        <f>Raw_Data!J351</f>
        <v/>
      </c>
      <c r="K351" s="11">
        <f>Raw_Data!K351</f>
        <v/>
      </c>
      <c r="L351" s="11">
        <f>Raw_Data!L351</f>
        <v/>
      </c>
      <c r="M351" s="10">
        <f>Raw_Data!M351</f>
        <v/>
      </c>
      <c r="N351" s="10">
        <f>Raw_Data!N351</f>
        <v/>
      </c>
      <c r="O351" s="10">
        <f>Raw_Data!O351</f>
        <v/>
      </c>
      <c r="P351" s="11">
        <f>Raw_Data!P351</f>
        <v/>
      </c>
      <c r="R351" s="9">
        <f>IFERROR(Cleaned_Data!M351/Cleaned_Data!K351,0)</f>
        <v/>
      </c>
    </row>
    <row r="352">
      <c r="A352" s="7">
        <f>Raw_Data!A352</f>
        <v/>
      </c>
      <c r="B352" s="8">
        <f>Raw_Data!B352</f>
        <v/>
      </c>
      <c r="C352" s="8">
        <f>Raw_Data!C352</f>
        <v/>
      </c>
      <c r="D352" s="7">
        <f>Raw_Data!D352</f>
        <v/>
      </c>
      <c r="E352" s="7">
        <f>Raw_Data!E352</f>
        <v/>
      </c>
      <c r="F352" s="8">
        <f>Raw_Data!F352</f>
        <v/>
      </c>
      <c r="G352" s="8">
        <f>Raw_Data!G352</f>
        <v/>
      </c>
      <c r="H352" s="7">
        <f>Raw_Data!H352</f>
        <v/>
      </c>
      <c r="I352" s="7">
        <f>Raw_Data!I352</f>
        <v/>
      </c>
      <c r="J352" s="8">
        <f>Raw_Data!J352</f>
        <v/>
      </c>
      <c r="K352" s="8">
        <f>Raw_Data!K352</f>
        <v/>
      </c>
      <c r="L352" s="8">
        <f>Raw_Data!L352</f>
        <v/>
      </c>
      <c r="M352" s="7">
        <f>Raw_Data!M352</f>
        <v/>
      </c>
      <c r="N352" s="7">
        <f>Raw_Data!N352</f>
        <v/>
      </c>
      <c r="O352" s="7">
        <f>Raw_Data!O352</f>
        <v/>
      </c>
      <c r="P352" s="8">
        <f>Raw_Data!P352</f>
        <v/>
      </c>
      <c r="R352" s="9">
        <f>IFERROR(Cleaned_Data!M352/Cleaned_Data!K352,0)</f>
        <v/>
      </c>
    </row>
    <row r="353">
      <c r="A353" s="10">
        <f>Raw_Data!A353</f>
        <v/>
      </c>
      <c r="B353" s="11">
        <f>Raw_Data!B353</f>
        <v/>
      </c>
      <c r="C353" s="11">
        <f>Raw_Data!C353</f>
        <v/>
      </c>
      <c r="D353" s="10">
        <f>Raw_Data!D353</f>
        <v/>
      </c>
      <c r="E353" s="10">
        <f>Raw_Data!E353</f>
        <v/>
      </c>
      <c r="F353" s="11">
        <f>Raw_Data!F353</f>
        <v/>
      </c>
      <c r="G353" s="11">
        <f>Raw_Data!G353</f>
        <v/>
      </c>
      <c r="H353" s="10">
        <f>Raw_Data!H353</f>
        <v/>
      </c>
      <c r="I353" s="10">
        <f>Raw_Data!I353</f>
        <v/>
      </c>
      <c r="J353" s="11">
        <f>Raw_Data!J353</f>
        <v/>
      </c>
      <c r="K353" s="11">
        <f>Raw_Data!K353</f>
        <v/>
      </c>
      <c r="L353" s="11">
        <f>Raw_Data!L353</f>
        <v/>
      </c>
      <c r="M353" s="10">
        <f>Raw_Data!M353</f>
        <v/>
      </c>
      <c r="N353" s="10">
        <f>Raw_Data!N353</f>
        <v/>
      </c>
      <c r="O353" s="10">
        <f>Raw_Data!O353</f>
        <v/>
      </c>
      <c r="P353" s="11">
        <f>Raw_Data!P353</f>
        <v/>
      </c>
      <c r="R353" s="9">
        <f>IFERROR(Cleaned_Data!M353/Cleaned_Data!K353,0)</f>
        <v/>
      </c>
    </row>
    <row r="354">
      <c r="A354" s="7">
        <f>Raw_Data!A354</f>
        <v/>
      </c>
      <c r="B354" s="8">
        <f>Raw_Data!B354</f>
        <v/>
      </c>
      <c r="C354" s="8">
        <f>Raw_Data!C354</f>
        <v/>
      </c>
      <c r="D354" s="7">
        <f>Raw_Data!D354</f>
        <v/>
      </c>
      <c r="E354" s="7">
        <f>Raw_Data!E354</f>
        <v/>
      </c>
      <c r="F354" s="8">
        <f>Raw_Data!F354</f>
        <v/>
      </c>
      <c r="G354" s="8">
        <f>Raw_Data!G354</f>
        <v/>
      </c>
      <c r="H354" s="7">
        <f>Raw_Data!H354</f>
        <v/>
      </c>
      <c r="I354" s="7">
        <f>Raw_Data!I354</f>
        <v/>
      </c>
      <c r="J354" s="8">
        <f>Raw_Data!J354</f>
        <v/>
      </c>
      <c r="K354" s="8">
        <f>Raw_Data!K354</f>
        <v/>
      </c>
      <c r="L354" s="8">
        <f>Raw_Data!L354</f>
        <v/>
      </c>
      <c r="M354" s="7">
        <f>Raw_Data!M354</f>
        <v/>
      </c>
      <c r="N354" s="7">
        <f>Raw_Data!N354</f>
        <v/>
      </c>
      <c r="O354" s="7">
        <f>Raw_Data!O354</f>
        <v/>
      </c>
      <c r="P354" s="8">
        <f>Raw_Data!P354</f>
        <v/>
      </c>
      <c r="R354" s="9">
        <f>IFERROR(Cleaned_Data!M354/Cleaned_Data!K354,0)</f>
        <v/>
      </c>
    </row>
    <row r="355">
      <c r="A355" s="10">
        <f>Raw_Data!A355</f>
        <v/>
      </c>
      <c r="B355" s="11">
        <f>Raw_Data!B355</f>
        <v/>
      </c>
      <c r="C355" s="11">
        <f>Raw_Data!C355</f>
        <v/>
      </c>
      <c r="D355" s="10">
        <f>Raw_Data!D355</f>
        <v/>
      </c>
      <c r="E355" s="10">
        <f>Raw_Data!E355</f>
        <v/>
      </c>
      <c r="F355" s="11">
        <f>Raw_Data!F355</f>
        <v/>
      </c>
      <c r="G355" s="11">
        <f>Raw_Data!G355</f>
        <v/>
      </c>
      <c r="H355" s="10">
        <f>Raw_Data!H355</f>
        <v/>
      </c>
      <c r="I355" s="10">
        <f>Raw_Data!I355</f>
        <v/>
      </c>
      <c r="J355" s="11">
        <f>Raw_Data!J355</f>
        <v/>
      </c>
      <c r="K355" s="11">
        <f>Raw_Data!K355</f>
        <v/>
      </c>
      <c r="L355" s="11">
        <f>Raw_Data!L355</f>
        <v/>
      </c>
      <c r="M355" s="10">
        <f>Raw_Data!M355</f>
        <v/>
      </c>
      <c r="N355" s="10">
        <f>Raw_Data!N355</f>
        <v/>
      </c>
      <c r="O355" s="10">
        <f>Raw_Data!O355</f>
        <v/>
      </c>
      <c r="P355" s="11">
        <f>Raw_Data!P355</f>
        <v/>
      </c>
      <c r="R355" s="9">
        <f>IFERROR(Cleaned_Data!M355/Cleaned_Data!K355,0)</f>
        <v/>
      </c>
    </row>
    <row r="356">
      <c r="A356" s="7">
        <f>Raw_Data!A356</f>
        <v/>
      </c>
      <c r="B356" s="8">
        <f>Raw_Data!B356</f>
        <v/>
      </c>
      <c r="C356" s="8">
        <f>Raw_Data!C356</f>
        <v/>
      </c>
      <c r="D356" s="7">
        <f>Raw_Data!D356</f>
        <v/>
      </c>
      <c r="E356" s="7">
        <f>Raw_Data!E356</f>
        <v/>
      </c>
      <c r="F356" s="8">
        <f>Raw_Data!F356</f>
        <v/>
      </c>
      <c r="G356" s="8">
        <f>Raw_Data!G356</f>
        <v/>
      </c>
      <c r="H356" s="7">
        <f>Raw_Data!H356</f>
        <v/>
      </c>
      <c r="I356" s="7">
        <f>Raw_Data!I356</f>
        <v/>
      </c>
      <c r="J356" s="8">
        <f>Raw_Data!J356</f>
        <v/>
      </c>
      <c r="K356" s="8">
        <f>Raw_Data!K356</f>
        <v/>
      </c>
      <c r="L356" s="8">
        <f>Raw_Data!L356</f>
        <v/>
      </c>
      <c r="M356" s="7">
        <f>Raw_Data!M356</f>
        <v/>
      </c>
      <c r="N356" s="7">
        <f>Raw_Data!N356</f>
        <v/>
      </c>
      <c r="O356" s="7">
        <f>Raw_Data!O356</f>
        <v/>
      </c>
      <c r="P356" s="8">
        <f>Raw_Data!P356</f>
        <v/>
      </c>
      <c r="R356" s="9">
        <f>IFERROR(Cleaned_Data!M356/Cleaned_Data!K356,0)</f>
        <v/>
      </c>
    </row>
    <row r="357">
      <c r="A357" s="10">
        <f>Raw_Data!A357</f>
        <v/>
      </c>
      <c r="B357" s="11">
        <f>Raw_Data!B357</f>
        <v/>
      </c>
      <c r="C357" s="11">
        <f>Raw_Data!C357</f>
        <v/>
      </c>
      <c r="D357" s="10">
        <f>Raw_Data!D357</f>
        <v/>
      </c>
      <c r="E357" s="10">
        <f>Raw_Data!E357</f>
        <v/>
      </c>
      <c r="F357" s="11">
        <f>Raw_Data!F357</f>
        <v/>
      </c>
      <c r="G357" s="11">
        <f>Raw_Data!G357</f>
        <v/>
      </c>
      <c r="H357" s="10">
        <f>Raw_Data!H357</f>
        <v/>
      </c>
      <c r="I357" s="10">
        <f>Raw_Data!I357</f>
        <v/>
      </c>
      <c r="J357" s="11">
        <f>Raw_Data!J357</f>
        <v/>
      </c>
      <c r="K357" s="11">
        <f>Raw_Data!K357</f>
        <v/>
      </c>
      <c r="L357" s="11">
        <f>Raw_Data!L357</f>
        <v/>
      </c>
      <c r="M357" s="10">
        <f>Raw_Data!M357</f>
        <v/>
      </c>
      <c r="N357" s="10">
        <f>Raw_Data!N357</f>
        <v/>
      </c>
      <c r="O357" s="10">
        <f>Raw_Data!O357</f>
        <v/>
      </c>
      <c r="P357" s="11">
        <f>Raw_Data!P357</f>
        <v/>
      </c>
      <c r="R357" s="9">
        <f>IFERROR(Cleaned_Data!M357/Cleaned_Data!K357,0)</f>
        <v/>
      </c>
    </row>
    <row r="358">
      <c r="A358" s="7">
        <f>Raw_Data!A358</f>
        <v/>
      </c>
      <c r="B358" s="8">
        <f>Raw_Data!B358</f>
        <v/>
      </c>
      <c r="C358" s="8">
        <f>Raw_Data!C358</f>
        <v/>
      </c>
      <c r="D358" s="7">
        <f>Raw_Data!D358</f>
        <v/>
      </c>
      <c r="E358" s="7">
        <f>Raw_Data!E358</f>
        <v/>
      </c>
      <c r="F358" s="8">
        <f>Raw_Data!F358</f>
        <v/>
      </c>
      <c r="G358" s="8">
        <f>Raw_Data!G358</f>
        <v/>
      </c>
      <c r="H358" s="7">
        <f>Raw_Data!H358</f>
        <v/>
      </c>
      <c r="I358" s="7">
        <f>Raw_Data!I358</f>
        <v/>
      </c>
      <c r="J358" s="8">
        <f>Raw_Data!J358</f>
        <v/>
      </c>
      <c r="K358" s="8">
        <f>Raw_Data!K358</f>
        <v/>
      </c>
      <c r="L358" s="8">
        <f>Raw_Data!L358</f>
        <v/>
      </c>
      <c r="M358" s="7">
        <f>Raw_Data!M358</f>
        <v/>
      </c>
      <c r="N358" s="7">
        <f>Raw_Data!N358</f>
        <v/>
      </c>
      <c r="O358" s="7">
        <f>Raw_Data!O358</f>
        <v/>
      </c>
      <c r="P358" s="8">
        <f>Raw_Data!P358</f>
        <v/>
      </c>
      <c r="R358" s="9">
        <f>IFERROR(Cleaned_Data!M358/Cleaned_Data!K358,0)</f>
        <v/>
      </c>
    </row>
    <row r="359">
      <c r="A359" s="10">
        <f>Raw_Data!A359</f>
        <v/>
      </c>
      <c r="B359" s="11">
        <f>Raw_Data!B359</f>
        <v/>
      </c>
      <c r="C359" s="11">
        <f>Raw_Data!C359</f>
        <v/>
      </c>
      <c r="D359" s="10">
        <f>Raw_Data!D359</f>
        <v/>
      </c>
      <c r="E359" s="10">
        <f>Raw_Data!E359</f>
        <v/>
      </c>
      <c r="F359" s="11">
        <f>Raw_Data!F359</f>
        <v/>
      </c>
      <c r="G359" s="11">
        <f>Raw_Data!G359</f>
        <v/>
      </c>
      <c r="H359" s="10">
        <f>Raw_Data!H359</f>
        <v/>
      </c>
      <c r="I359" s="10">
        <f>Raw_Data!I359</f>
        <v/>
      </c>
      <c r="J359" s="11">
        <f>Raw_Data!J359</f>
        <v/>
      </c>
      <c r="K359" s="11">
        <f>Raw_Data!K359</f>
        <v/>
      </c>
      <c r="L359" s="11">
        <f>Raw_Data!L359</f>
        <v/>
      </c>
      <c r="M359" s="10">
        <f>Raw_Data!M359</f>
        <v/>
      </c>
      <c r="N359" s="10">
        <f>Raw_Data!N359</f>
        <v/>
      </c>
      <c r="O359" s="10">
        <f>Raw_Data!O359</f>
        <v/>
      </c>
      <c r="P359" s="11">
        <f>Raw_Data!P359</f>
        <v/>
      </c>
      <c r="R359" s="9">
        <f>IFERROR(Cleaned_Data!M359/Cleaned_Data!K359,0)</f>
        <v/>
      </c>
    </row>
    <row r="360">
      <c r="A360" s="7">
        <f>Raw_Data!A360</f>
        <v/>
      </c>
      <c r="B360" s="8">
        <f>Raw_Data!B360</f>
        <v/>
      </c>
      <c r="C360" s="8">
        <f>Raw_Data!C360</f>
        <v/>
      </c>
      <c r="D360" s="7">
        <f>Raw_Data!D360</f>
        <v/>
      </c>
      <c r="E360" s="7">
        <f>Raw_Data!E360</f>
        <v/>
      </c>
      <c r="F360" s="8">
        <f>Raw_Data!F360</f>
        <v/>
      </c>
      <c r="G360" s="8">
        <f>Raw_Data!G360</f>
        <v/>
      </c>
      <c r="H360" s="7">
        <f>Raw_Data!H360</f>
        <v/>
      </c>
      <c r="I360" s="7">
        <f>Raw_Data!I360</f>
        <v/>
      </c>
      <c r="J360" s="8">
        <f>Raw_Data!J360</f>
        <v/>
      </c>
      <c r="K360" s="8">
        <f>Raw_Data!K360</f>
        <v/>
      </c>
      <c r="L360" s="8">
        <f>Raw_Data!L360</f>
        <v/>
      </c>
      <c r="M360" s="7">
        <f>Raw_Data!M360</f>
        <v/>
      </c>
      <c r="N360" s="7">
        <f>Raw_Data!N360</f>
        <v/>
      </c>
      <c r="O360" s="7">
        <f>Raw_Data!O360</f>
        <v/>
      </c>
      <c r="P360" s="8">
        <f>Raw_Data!P360</f>
        <v/>
      </c>
      <c r="R360" s="9">
        <f>IFERROR(Cleaned_Data!M360/Cleaned_Data!K360,0)</f>
        <v/>
      </c>
    </row>
    <row r="361">
      <c r="A361" s="10">
        <f>Raw_Data!A361</f>
        <v/>
      </c>
      <c r="B361" s="11">
        <f>Raw_Data!B361</f>
        <v/>
      </c>
      <c r="C361" s="11">
        <f>Raw_Data!C361</f>
        <v/>
      </c>
      <c r="D361" s="10">
        <f>Raw_Data!D361</f>
        <v/>
      </c>
      <c r="E361" s="10">
        <f>Raw_Data!E361</f>
        <v/>
      </c>
      <c r="F361" s="11">
        <f>Raw_Data!F361</f>
        <v/>
      </c>
      <c r="G361" s="11">
        <f>Raw_Data!G361</f>
        <v/>
      </c>
      <c r="H361" s="10">
        <f>Raw_Data!H361</f>
        <v/>
      </c>
      <c r="I361" s="10">
        <f>Raw_Data!I361</f>
        <v/>
      </c>
      <c r="J361" s="11">
        <f>Raw_Data!J361</f>
        <v/>
      </c>
      <c r="K361" s="11">
        <f>Raw_Data!K361</f>
        <v/>
      </c>
      <c r="L361" s="11">
        <f>Raw_Data!L361</f>
        <v/>
      </c>
      <c r="M361" s="10">
        <f>Raw_Data!M361</f>
        <v/>
      </c>
      <c r="N361" s="10">
        <f>Raw_Data!N361</f>
        <v/>
      </c>
      <c r="O361" s="10">
        <f>Raw_Data!O361</f>
        <v/>
      </c>
      <c r="P361" s="11">
        <f>Raw_Data!P361</f>
        <v/>
      </c>
      <c r="R361" s="9">
        <f>IFERROR(Cleaned_Data!M361/Cleaned_Data!K361,0)</f>
        <v/>
      </c>
    </row>
    <row r="362">
      <c r="A362" s="7">
        <f>Raw_Data!A362</f>
        <v/>
      </c>
      <c r="B362" s="8">
        <f>Raw_Data!B362</f>
        <v/>
      </c>
      <c r="C362" s="8">
        <f>Raw_Data!C362</f>
        <v/>
      </c>
      <c r="D362" s="7">
        <f>Raw_Data!D362</f>
        <v/>
      </c>
      <c r="E362" s="7">
        <f>Raw_Data!E362</f>
        <v/>
      </c>
      <c r="F362" s="8">
        <f>Raw_Data!F362</f>
        <v/>
      </c>
      <c r="G362" s="8">
        <f>Raw_Data!G362</f>
        <v/>
      </c>
      <c r="H362" s="7">
        <f>Raw_Data!H362</f>
        <v/>
      </c>
      <c r="I362" s="7">
        <f>Raw_Data!I362</f>
        <v/>
      </c>
      <c r="J362" s="8">
        <f>Raw_Data!J362</f>
        <v/>
      </c>
      <c r="K362" s="8">
        <f>Raw_Data!K362</f>
        <v/>
      </c>
      <c r="L362" s="8">
        <f>Raw_Data!L362</f>
        <v/>
      </c>
      <c r="M362" s="7">
        <f>Raw_Data!M362</f>
        <v/>
      </c>
      <c r="N362" s="7">
        <f>Raw_Data!N362</f>
        <v/>
      </c>
      <c r="O362" s="7">
        <f>Raw_Data!O362</f>
        <v/>
      </c>
      <c r="P362" s="8">
        <f>Raw_Data!P362</f>
        <v/>
      </c>
      <c r="R362" s="9">
        <f>IFERROR(Cleaned_Data!M362/Cleaned_Data!K362,0)</f>
        <v/>
      </c>
    </row>
    <row r="363">
      <c r="A363" s="10">
        <f>Raw_Data!A363</f>
        <v/>
      </c>
      <c r="B363" s="11">
        <f>Raw_Data!B363</f>
        <v/>
      </c>
      <c r="C363" s="11">
        <f>Raw_Data!C363</f>
        <v/>
      </c>
      <c r="D363" s="10">
        <f>Raw_Data!D363</f>
        <v/>
      </c>
      <c r="E363" s="10">
        <f>Raw_Data!E363</f>
        <v/>
      </c>
      <c r="F363" s="11">
        <f>Raw_Data!F363</f>
        <v/>
      </c>
      <c r="G363" s="11">
        <f>Raw_Data!G363</f>
        <v/>
      </c>
      <c r="H363" s="10">
        <f>Raw_Data!H363</f>
        <v/>
      </c>
      <c r="I363" s="10">
        <f>Raw_Data!I363</f>
        <v/>
      </c>
      <c r="J363" s="11">
        <f>Raw_Data!J363</f>
        <v/>
      </c>
      <c r="K363" s="11">
        <f>Raw_Data!K363</f>
        <v/>
      </c>
      <c r="L363" s="11">
        <f>Raw_Data!L363</f>
        <v/>
      </c>
      <c r="M363" s="10">
        <f>Raw_Data!M363</f>
        <v/>
      </c>
      <c r="N363" s="10">
        <f>Raw_Data!N363</f>
        <v/>
      </c>
      <c r="O363" s="10">
        <f>Raw_Data!O363</f>
        <v/>
      </c>
      <c r="P363" s="11">
        <f>Raw_Data!P363</f>
        <v/>
      </c>
      <c r="R363" s="9">
        <f>IFERROR(Cleaned_Data!M363/Cleaned_Data!K363,0)</f>
        <v/>
      </c>
    </row>
    <row r="364">
      <c r="A364" s="7">
        <f>Raw_Data!A364</f>
        <v/>
      </c>
      <c r="B364" s="8">
        <f>Raw_Data!B364</f>
        <v/>
      </c>
      <c r="C364" s="8">
        <f>Raw_Data!C364</f>
        <v/>
      </c>
      <c r="D364" s="7">
        <f>Raw_Data!D364</f>
        <v/>
      </c>
      <c r="E364" s="7">
        <f>Raw_Data!E364</f>
        <v/>
      </c>
      <c r="F364" s="8">
        <f>Raw_Data!F364</f>
        <v/>
      </c>
      <c r="G364" s="8">
        <f>Raw_Data!G364</f>
        <v/>
      </c>
      <c r="H364" s="7">
        <f>Raw_Data!H364</f>
        <v/>
      </c>
      <c r="I364" s="7">
        <f>Raw_Data!I364</f>
        <v/>
      </c>
      <c r="J364" s="8">
        <f>Raw_Data!J364</f>
        <v/>
      </c>
      <c r="K364" s="8">
        <f>Raw_Data!K364</f>
        <v/>
      </c>
      <c r="L364" s="8">
        <f>Raw_Data!L364</f>
        <v/>
      </c>
      <c r="M364" s="7">
        <f>Raw_Data!M364</f>
        <v/>
      </c>
      <c r="N364" s="7">
        <f>Raw_Data!N364</f>
        <v/>
      </c>
      <c r="O364" s="7">
        <f>Raw_Data!O364</f>
        <v/>
      </c>
      <c r="P364" s="8">
        <f>Raw_Data!P364</f>
        <v/>
      </c>
      <c r="R364" s="9">
        <f>IFERROR(Cleaned_Data!M364/Cleaned_Data!K364,0)</f>
        <v/>
      </c>
    </row>
    <row r="365">
      <c r="A365" s="10">
        <f>Raw_Data!A365</f>
        <v/>
      </c>
      <c r="B365" s="11">
        <f>Raw_Data!B365</f>
        <v/>
      </c>
      <c r="C365" s="11">
        <f>Raw_Data!C365</f>
        <v/>
      </c>
      <c r="D365" s="10">
        <f>Raw_Data!D365</f>
        <v/>
      </c>
      <c r="E365" s="10">
        <f>Raw_Data!E365</f>
        <v/>
      </c>
      <c r="F365" s="11">
        <f>Raw_Data!F365</f>
        <v/>
      </c>
      <c r="G365" s="11">
        <f>Raw_Data!G365</f>
        <v/>
      </c>
      <c r="H365" s="10">
        <f>Raw_Data!H365</f>
        <v/>
      </c>
      <c r="I365" s="10">
        <f>Raw_Data!I365</f>
        <v/>
      </c>
      <c r="J365" s="11">
        <f>Raw_Data!J365</f>
        <v/>
      </c>
      <c r="K365" s="11">
        <f>Raw_Data!K365</f>
        <v/>
      </c>
      <c r="L365" s="11">
        <f>Raw_Data!L365</f>
        <v/>
      </c>
      <c r="M365" s="10">
        <f>Raw_Data!M365</f>
        <v/>
      </c>
      <c r="N365" s="10">
        <f>Raw_Data!N365</f>
        <v/>
      </c>
      <c r="O365" s="10">
        <f>Raw_Data!O365</f>
        <v/>
      </c>
      <c r="P365" s="11">
        <f>Raw_Data!P365</f>
        <v/>
      </c>
      <c r="R365" s="9">
        <f>IFERROR(Cleaned_Data!M365/Cleaned_Data!K365,0)</f>
        <v/>
      </c>
    </row>
    <row r="366">
      <c r="A366" s="7">
        <f>Raw_Data!A366</f>
        <v/>
      </c>
      <c r="B366" s="8">
        <f>Raw_Data!B366</f>
        <v/>
      </c>
      <c r="C366" s="8">
        <f>Raw_Data!C366</f>
        <v/>
      </c>
      <c r="D366" s="7">
        <f>Raw_Data!D366</f>
        <v/>
      </c>
      <c r="E366" s="7">
        <f>Raw_Data!E366</f>
        <v/>
      </c>
      <c r="F366" s="8">
        <f>Raw_Data!F366</f>
        <v/>
      </c>
      <c r="G366" s="8">
        <f>Raw_Data!G366</f>
        <v/>
      </c>
      <c r="H366" s="7">
        <f>Raw_Data!H366</f>
        <v/>
      </c>
      <c r="I366" s="7">
        <f>Raw_Data!I366</f>
        <v/>
      </c>
      <c r="J366" s="8">
        <f>Raw_Data!J366</f>
        <v/>
      </c>
      <c r="K366" s="8">
        <f>Raw_Data!K366</f>
        <v/>
      </c>
      <c r="L366" s="8">
        <f>Raw_Data!L366</f>
        <v/>
      </c>
      <c r="M366" s="7">
        <f>Raw_Data!M366</f>
        <v/>
      </c>
      <c r="N366" s="7">
        <f>Raw_Data!N366</f>
        <v/>
      </c>
      <c r="O366" s="7">
        <f>Raw_Data!O366</f>
        <v/>
      </c>
      <c r="P366" s="8">
        <f>Raw_Data!P366</f>
        <v/>
      </c>
      <c r="R366" s="9">
        <f>IFERROR(Cleaned_Data!M366/Cleaned_Data!K366,0)</f>
        <v/>
      </c>
    </row>
    <row r="367">
      <c r="A367" s="10">
        <f>Raw_Data!A367</f>
        <v/>
      </c>
      <c r="B367" s="11">
        <f>Raw_Data!B367</f>
        <v/>
      </c>
      <c r="C367" s="11">
        <f>Raw_Data!C367</f>
        <v/>
      </c>
      <c r="D367" s="10">
        <f>Raw_Data!D367</f>
        <v/>
      </c>
      <c r="E367" s="10">
        <f>Raw_Data!E367</f>
        <v/>
      </c>
      <c r="F367" s="11">
        <f>Raw_Data!F367</f>
        <v/>
      </c>
      <c r="G367" s="11">
        <f>Raw_Data!G367</f>
        <v/>
      </c>
      <c r="H367" s="10">
        <f>Raw_Data!H367</f>
        <v/>
      </c>
      <c r="I367" s="10">
        <f>Raw_Data!I367</f>
        <v/>
      </c>
      <c r="J367" s="11">
        <f>Raw_Data!J367</f>
        <v/>
      </c>
      <c r="K367" s="11">
        <f>Raw_Data!K367</f>
        <v/>
      </c>
      <c r="L367" s="11">
        <f>Raw_Data!L367</f>
        <v/>
      </c>
      <c r="M367" s="10">
        <f>Raw_Data!M367</f>
        <v/>
      </c>
      <c r="N367" s="10">
        <f>Raw_Data!N367</f>
        <v/>
      </c>
      <c r="O367" s="10">
        <f>Raw_Data!O367</f>
        <v/>
      </c>
      <c r="P367" s="11">
        <f>Raw_Data!P367</f>
        <v/>
      </c>
      <c r="R367" s="9">
        <f>IFERROR(Cleaned_Data!M367/Cleaned_Data!K367,0)</f>
        <v/>
      </c>
    </row>
    <row r="368">
      <c r="A368" s="7">
        <f>Raw_Data!A368</f>
        <v/>
      </c>
      <c r="B368" s="8">
        <f>Raw_Data!B368</f>
        <v/>
      </c>
      <c r="C368" s="8">
        <f>Raw_Data!C368</f>
        <v/>
      </c>
      <c r="D368" s="7">
        <f>Raw_Data!D368</f>
        <v/>
      </c>
      <c r="E368" s="7">
        <f>Raw_Data!E368</f>
        <v/>
      </c>
      <c r="F368" s="8">
        <f>Raw_Data!F368</f>
        <v/>
      </c>
      <c r="G368" s="8">
        <f>Raw_Data!G368</f>
        <v/>
      </c>
      <c r="H368" s="7">
        <f>Raw_Data!H368</f>
        <v/>
      </c>
      <c r="I368" s="7">
        <f>Raw_Data!I368</f>
        <v/>
      </c>
      <c r="J368" s="8">
        <f>Raw_Data!J368</f>
        <v/>
      </c>
      <c r="K368" s="8">
        <f>Raw_Data!K368</f>
        <v/>
      </c>
      <c r="L368" s="8">
        <f>Raw_Data!L368</f>
        <v/>
      </c>
      <c r="M368" s="7">
        <f>Raw_Data!M368</f>
        <v/>
      </c>
      <c r="N368" s="7">
        <f>Raw_Data!N368</f>
        <v/>
      </c>
      <c r="O368" s="7">
        <f>Raw_Data!O368</f>
        <v/>
      </c>
      <c r="P368" s="8">
        <f>Raw_Data!P368</f>
        <v/>
      </c>
      <c r="R368" s="9">
        <f>IFERROR(Cleaned_Data!M368/Cleaned_Data!K368,0)</f>
        <v/>
      </c>
    </row>
    <row r="369">
      <c r="A369" s="10">
        <f>Raw_Data!A369</f>
        <v/>
      </c>
      <c r="B369" s="11">
        <f>Raw_Data!B369</f>
        <v/>
      </c>
      <c r="C369" s="11">
        <f>Raw_Data!C369</f>
        <v/>
      </c>
      <c r="D369" s="10">
        <f>Raw_Data!D369</f>
        <v/>
      </c>
      <c r="E369" s="10">
        <f>Raw_Data!E369</f>
        <v/>
      </c>
      <c r="F369" s="11">
        <f>Raw_Data!F369</f>
        <v/>
      </c>
      <c r="G369" s="11">
        <f>Raw_Data!G369</f>
        <v/>
      </c>
      <c r="H369" s="10">
        <f>Raw_Data!H369</f>
        <v/>
      </c>
      <c r="I369" s="10">
        <f>Raw_Data!I369</f>
        <v/>
      </c>
      <c r="J369" s="11">
        <f>Raw_Data!J369</f>
        <v/>
      </c>
      <c r="K369" s="11">
        <f>Raw_Data!K369</f>
        <v/>
      </c>
      <c r="L369" s="11">
        <f>Raw_Data!L369</f>
        <v/>
      </c>
      <c r="M369" s="10">
        <f>Raw_Data!M369</f>
        <v/>
      </c>
      <c r="N369" s="10">
        <f>Raw_Data!N369</f>
        <v/>
      </c>
      <c r="O369" s="10">
        <f>Raw_Data!O369</f>
        <v/>
      </c>
      <c r="P369" s="11">
        <f>Raw_Data!P369</f>
        <v/>
      </c>
      <c r="R369" s="9">
        <f>IFERROR(Cleaned_Data!M369/Cleaned_Data!K369,0)</f>
        <v/>
      </c>
    </row>
    <row r="370">
      <c r="A370" s="7">
        <f>Raw_Data!A370</f>
        <v/>
      </c>
      <c r="B370" s="8">
        <f>Raw_Data!B370</f>
        <v/>
      </c>
      <c r="C370" s="8">
        <f>Raw_Data!C370</f>
        <v/>
      </c>
      <c r="D370" s="7">
        <f>Raw_Data!D370</f>
        <v/>
      </c>
      <c r="E370" s="7">
        <f>Raw_Data!E370</f>
        <v/>
      </c>
      <c r="F370" s="8">
        <f>Raw_Data!F370</f>
        <v/>
      </c>
      <c r="G370" s="8">
        <f>Raw_Data!G370</f>
        <v/>
      </c>
      <c r="H370" s="7">
        <f>Raw_Data!H370</f>
        <v/>
      </c>
      <c r="I370" s="7">
        <f>Raw_Data!I370</f>
        <v/>
      </c>
      <c r="J370" s="8">
        <f>Raw_Data!J370</f>
        <v/>
      </c>
      <c r="K370" s="8">
        <f>Raw_Data!K370</f>
        <v/>
      </c>
      <c r="L370" s="8">
        <f>Raw_Data!L370</f>
        <v/>
      </c>
      <c r="M370" s="7">
        <f>Raw_Data!M370</f>
        <v/>
      </c>
      <c r="N370" s="7">
        <f>Raw_Data!N370</f>
        <v/>
      </c>
      <c r="O370" s="7">
        <f>Raw_Data!O370</f>
        <v/>
      </c>
      <c r="P370" s="8">
        <f>Raw_Data!P370</f>
        <v/>
      </c>
      <c r="R370" s="9">
        <f>IFERROR(Cleaned_Data!M370/Cleaned_Data!K370,0)</f>
        <v/>
      </c>
    </row>
    <row r="371">
      <c r="A371" s="10">
        <f>Raw_Data!A371</f>
        <v/>
      </c>
      <c r="B371" s="11">
        <f>Raw_Data!B371</f>
        <v/>
      </c>
      <c r="C371" s="11">
        <f>Raw_Data!C371</f>
        <v/>
      </c>
      <c r="D371" s="10">
        <f>Raw_Data!D371</f>
        <v/>
      </c>
      <c r="E371" s="10">
        <f>Raw_Data!E371</f>
        <v/>
      </c>
      <c r="F371" s="11">
        <f>Raw_Data!F371</f>
        <v/>
      </c>
      <c r="G371" s="11">
        <f>Raw_Data!G371</f>
        <v/>
      </c>
      <c r="H371" s="10">
        <f>Raw_Data!H371</f>
        <v/>
      </c>
      <c r="I371" s="10">
        <f>Raw_Data!I371</f>
        <v/>
      </c>
      <c r="J371" s="11">
        <f>Raw_Data!J371</f>
        <v/>
      </c>
      <c r="K371" s="11">
        <f>Raw_Data!K371</f>
        <v/>
      </c>
      <c r="L371" s="11">
        <f>Raw_Data!L371</f>
        <v/>
      </c>
      <c r="M371" s="10">
        <f>Raw_Data!M371</f>
        <v/>
      </c>
      <c r="N371" s="10">
        <f>Raw_Data!N371</f>
        <v/>
      </c>
      <c r="O371" s="10">
        <f>Raw_Data!O371</f>
        <v/>
      </c>
      <c r="P371" s="11">
        <f>Raw_Data!P371</f>
        <v/>
      </c>
      <c r="R371" s="9">
        <f>IFERROR(Cleaned_Data!M371/Cleaned_Data!K371,0)</f>
        <v/>
      </c>
    </row>
    <row r="372">
      <c r="A372" s="7">
        <f>Raw_Data!A372</f>
        <v/>
      </c>
      <c r="B372" s="8">
        <f>Raw_Data!B372</f>
        <v/>
      </c>
      <c r="C372" s="8">
        <f>Raw_Data!C372</f>
        <v/>
      </c>
      <c r="D372" s="7">
        <f>Raw_Data!D372</f>
        <v/>
      </c>
      <c r="E372" s="7">
        <f>Raw_Data!E372</f>
        <v/>
      </c>
      <c r="F372" s="8">
        <f>Raw_Data!F372</f>
        <v/>
      </c>
      <c r="G372" s="8">
        <f>Raw_Data!G372</f>
        <v/>
      </c>
      <c r="H372" s="7">
        <f>Raw_Data!H372</f>
        <v/>
      </c>
      <c r="I372" s="7">
        <f>Raw_Data!I372</f>
        <v/>
      </c>
      <c r="J372" s="8">
        <f>Raw_Data!J372</f>
        <v/>
      </c>
      <c r="K372" s="8">
        <f>Raw_Data!K372</f>
        <v/>
      </c>
      <c r="L372" s="8">
        <f>Raw_Data!L372</f>
        <v/>
      </c>
      <c r="M372" s="7">
        <f>Raw_Data!M372</f>
        <v/>
      </c>
      <c r="N372" s="7">
        <f>Raw_Data!N372</f>
        <v/>
      </c>
      <c r="O372" s="7">
        <f>Raw_Data!O372</f>
        <v/>
      </c>
      <c r="P372" s="8">
        <f>Raw_Data!P372</f>
        <v/>
      </c>
      <c r="R372" s="9">
        <f>IFERROR(Cleaned_Data!M372/Cleaned_Data!K372,0)</f>
        <v/>
      </c>
    </row>
    <row r="373">
      <c r="A373" s="10">
        <f>Raw_Data!A373</f>
        <v/>
      </c>
      <c r="B373" s="11">
        <f>Raw_Data!B373</f>
        <v/>
      </c>
      <c r="C373" s="11">
        <f>Raw_Data!C373</f>
        <v/>
      </c>
      <c r="D373" s="10">
        <f>Raw_Data!D373</f>
        <v/>
      </c>
      <c r="E373" s="10">
        <f>Raw_Data!E373</f>
        <v/>
      </c>
      <c r="F373" s="11">
        <f>Raw_Data!F373</f>
        <v/>
      </c>
      <c r="G373" s="11">
        <f>Raw_Data!G373</f>
        <v/>
      </c>
      <c r="H373" s="10">
        <f>Raw_Data!H373</f>
        <v/>
      </c>
      <c r="I373" s="10">
        <f>Raw_Data!I373</f>
        <v/>
      </c>
      <c r="J373" s="11">
        <f>Raw_Data!J373</f>
        <v/>
      </c>
      <c r="K373" s="11">
        <f>Raw_Data!K373</f>
        <v/>
      </c>
      <c r="L373" s="11">
        <f>Raw_Data!L373</f>
        <v/>
      </c>
      <c r="M373" s="10">
        <f>Raw_Data!M373</f>
        <v/>
      </c>
      <c r="N373" s="10">
        <f>Raw_Data!N373</f>
        <v/>
      </c>
      <c r="O373" s="10">
        <f>Raw_Data!O373</f>
        <v/>
      </c>
      <c r="P373" s="11">
        <f>Raw_Data!P373</f>
        <v/>
      </c>
      <c r="R373" s="9">
        <f>IFERROR(Cleaned_Data!M373/Cleaned_Data!K373,0)</f>
        <v/>
      </c>
    </row>
    <row r="374">
      <c r="A374" s="7">
        <f>Raw_Data!A374</f>
        <v/>
      </c>
      <c r="B374" s="8">
        <f>Raw_Data!B374</f>
        <v/>
      </c>
      <c r="C374" s="8">
        <f>Raw_Data!C374</f>
        <v/>
      </c>
      <c r="D374" s="7">
        <f>Raw_Data!D374</f>
        <v/>
      </c>
      <c r="E374" s="7">
        <f>Raw_Data!E374</f>
        <v/>
      </c>
      <c r="F374" s="8">
        <f>Raw_Data!F374</f>
        <v/>
      </c>
      <c r="G374" s="8">
        <f>Raw_Data!G374</f>
        <v/>
      </c>
      <c r="H374" s="7">
        <f>Raw_Data!H374</f>
        <v/>
      </c>
      <c r="I374" s="7">
        <f>Raw_Data!I374</f>
        <v/>
      </c>
      <c r="J374" s="8">
        <f>Raw_Data!J374</f>
        <v/>
      </c>
      <c r="K374" s="8">
        <f>Raw_Data!K374</f>
        <v/>
      </c>
      <c r="L374" s="8">
        <f>Raw_Data!L374</f>
        <v/>
      </c>
      <c r="M374" s="7">
        <f>Raw_Data!M374</f>
        <v/>
      </c>
      <c r="N374" s="7">
        <f>Raw_Data!N374</f>
        <v/>
      </c>
      <c r="O374" s="7">
        <f>Raw_Data!O374</f>
        <v/>
      </c>
      <c r="P374" s="8">
        <f>Raw_Data!P374</f>
        <v/>
      </c>
      <c r="R374" s="9">
        <f>IFERROR(Cleaned_Data!M374/Cleaned_Data!K374,0)</f>
        <v/>
      </c>
    </row>
    <row r="375">
      <c r="A375" s="10">
        <f>Raw_Data!A375</f>
        <v/>
      </c>
      <c r="B375" s="11">
        <f>Raw_Data!B375</f>
        <v/>
      </c>
      <c r="C375" s="11">
        <f>Raw_Data!C375</f>
        <v/>
      </c>
      <c r="D375" s="10">
        <f>Raw_Data!D375</f>
        <v/>
      </c>
      <c r="E375" s="10">
        <f>Raw_Data!E375</f>
        <v/>
      </c>
      <c r="F375" s="11">
        <f>Raw_Data!F375</f>
        <v/>
      </c>
      <c r="G375" s="11">
        <f>Raw_Data!G375</f>
        <v/>
      </c>
      <c r="H375" s="10">
        <f>Raw_Data!H375</f>
        <v/>
      </c>
      <c r="I375" s="10">
        <f>Raw_Data!I375</f>
        <v/>
      </c>
      <c r="J375" s="11">
        <f>Raw_Data!J375</f>
        <v/>
      </c>
      <c r="K375" s="11">
        <f>Raw_Data!K375</f>
        <v/>
      </c>
      <c r="L375" s="11">
        <f>Raw_Data!L375</f>
        <v/>
      </c>
      <c r="M375" s="10">
        <f>Raw_Data!M375</f>
        <v/>
      </c>
      <c r="N375" s="10">
        <f>Raw_Data!N375</f>
        <v/>
      </c>
      <c r="O375" s="10">
        <f>Raw_Data!O375</f>
        <v/>
      </c>
      <c r="P375" s="11">
        <f>Raw_Data!P375</f>
        <v/>
      </c>
      <c r="R375" s="9">
        <f>IFERROR(Cleaned_Data!M375/Cleaned_Data!K375,0)</f>
        <v/>
      </c>
    </row>
    <row r="376">
      <c r="A376" s="7">
        <f>Raw_Data!A376</f>
        <v/>
      </c>
      <c r="B376" s="8">
        <f>Raw_Data!B376</f>
        <v/>
      </c>
      <c r="C376" s="8">
        <f>Raw_Data!C376</f>
        <v/>
      </c>
      <c r="D376" s="7">
        <f>Raw_Data!D376</f>
        <v/>
      </c>
      <c r="E376" s="7">
        <f>Raw_Data!E376</f>
        <v/>
      </c>
      <c r="F376" s="8">
        <f>Raw_Data!F376</f>
        <v/>
      </c>
      <c r="G376" s="8">
        <f>Raw_Data!G376</f>
        <v/>
      </c>
      <c r="H376" s="7">
        <f>Raw_Data!H376</f>
        <v/>
      </c>
      <c r="I376" s="7">
        <f>Raw_Data!I376</f>
        <v/>
      </c>
      <c r="J376" s="8">
        <f>Raw_Data!J376</f>
        <v/>
      </c>
      <c r="K376" s="8">
        <f>Raw_Data!K376</f>
        <v/>
      </c>
      <c r="L376" s="8">
        <f>Raw_Data!L376</f>
        <v/>
      </c>
      <c r="M376" s="7">
        <f>Raw_Data!M376</f>
        <v/>
      </c>
      <c r="N376" s="7">
        <f>Raw_Data!N376</f>
        <v/>
      </c>
      <c r="O376" s="7">
        <f>Raw_Data!O376</f>
        <v/>
      </c>
      <c r="P376" s="8">
        <f>Raw_Data!P376</f>
        <v/>
      </c>
      <c r="R376" s="9">
        <f>IFERROR(Cleaned_Data!M376/Cleaned_Data!K376,0)</f>
        <v/>
      </c>
    </row>
    <row r="377">
      <c r="A377" s="10">
        <f>Raw_Data!A377</f>
        <v/>
      </c>
      <c r="B377" s="11">
        <f>Raw_Data!B377</f>
        <v/>
      </c>
      <c r="C377" s="11">
        <f>Raw_Data!C377</f>
        <v/>
      </c>
      <c r="D377" s="10">
        <f>Raw_Data!D377</f>
        <v/>
      </c>
      <c r="E377" s="10">
        <f>Raw_Data!E377</f>
        <v/>
      </c>
      <c r="F377" s="11">
        <f>Raw_Data!F377</f>
        <v/>
      </c>
      <c r="G377" s="11">
        <f>Raw_Data!G377</f>
        <v/>
      </c>
      <c r="H377" s="10">
        <f>Raw_Data!H377</f>
        <v/>
      </c>
      <c r="I377" s="10">
        <f>Raw_Data!I377</f>
        <v/>
      </c>
      <c r="J377" s="11">
        <f>Raw_Data!J377</f>
        <v/>
      </c>
      <c r="K377" s="11">
        <f>Raw_Data!K377</f>
        <v/>
      </c>
      <c r="L377" s="11">
        <f>Raw_Data!L377</f>
        <v/>
      </c>
      <c r="M377" s="10">
        <f>Raw_Data!M377</f>
        <v/>
      </c>
      <c r="N377" s="10">
        <f>Raw_Data!N377</f>
        <v/>
      </c>
      <c r="O377" s="10">
        <f>Raw_Data!O377</f>
        <v/>
      </c>
      <c r="P377" s="11">
        <f>Raw_Data!P377</f>
        <v/>
      </c>
      <c r="R377" s="9">
        <f>IFERROR(Cleaned_Data!M377/Cleaned_Data!K377,0)</f>
        <v/>
      </c>
    </row>
    <row r="378">
      <c r="A378" s="7">
        <f>Raw_Data!A378</f>
        <v/>
      </c>
      <c r="B378" s="8">
        <f>Raw_Data!B378</f>
        <v/>
      </c>
      <c r="C378" s="8">
        <f>Raw_Data!C378</f>
        <v/>
      </c>
      <c r="D378" s="7">
        <f>Raw_Data!D378</f>
        <v/>
      </c>
      <c r="E378" s="7">
        <f>Raw_Data!E378</f>
        <v/>
      </c>
      <c r="F378" s="8">
        <f>Raw_Data!F378</f>
        <v/>
      </c>
      <c r="G378" s="8">
        <f>Raw_Data!G378</f>
        <v/>
      </c>
      <c r="H378" s="7">
        <f>Raw_Data!H378</f>
        <v/>
      </c>
      <c r="I378" s="7">
        <f>Raw_Data!I378</f>
        <v/>
      </c>
      <c r="J378" s="8">
        <f>Raw_Data!J378</f>
        <v/>
      </c>
      <c r="K378" s="8">
        <f>Raw_Data!K378</f>
        <v/>
      </c>
      <c r="L378" s="8">
        <f>Raw_Data!L378</f>
        <v/>
      </c>
      <c r="M378" s="7">
        <f>Raw_Data!M378</f>
        <v/>
      </c>
      <c r="N378" s="7">
        <f>Raw_Data!N378</f>
        <v/>
      </c>
      <c r="O378" s="7">
        <f>Raw_Data!O378</f>
        <v/>
      </c>
      <c r="P378" s="8">
        <f>Raw_Data!P378</f>
        <v/>
      </c>
      <c r="R378" s="9">
        <f>IFERROR(Cleaned_Data!M378/Cleaned_Data!K378,0)</f>
        <v/>
      </c>
    </row>
    <row r="379">
      <c r="A379" s="10">
        <f>Raw_Data!A379</f>
        <v/>
      </c>
      <c r="B379" s="11">
        <f>Raw_Data!B379</f>
        <v/>
      </c>
      <c r="C379" s="11">
        <f>Raw_Data!C379</f>
        <v/>
      </c>
      <c r="D379" s="10">
        <f>Raw_Data!D379</f>
        <v/>
      </c>
      <c r="E379" s="10">
        <f>Raw_Data!E379</f>
        <v/>
      </c>
      <c r="F379" s="11">
        <f>Raw_Data!F379</f>
        <v/>
      </c>
      <c r="G379" s="11">
        <f>Raw_Data!G379</f>
        <v/>
      </c>
      <c r="H379" s="10">
        <f>Raw_Data!H379</f>
        <v/>
      </c>
      <c r="I379" s="10">
        <f>Raw_Data!I379</f>
        <v/>
      </c>
      <c r="J379" s="11">
        <f>Raw_Data!J379</f>
        <v/>
      </c>
      <c r="K379" s="11">
        <f>Raw_Data!K379</f>
        <v/>
      </c>
      <c r="L379" s="11">
        <f>Raw_Data!L379</f>
        <v/>
      </c>
      <c r="M379" s="10">
        <f>Raw_Data!M379</f>
        <v/>
      </c>
      <c r="N379" s="10">
        <f>Raw_Data!N379</f>
        <v/>
      </c>
      <c r="O379" s="10">
        <f>Raw_Data!O379</f>
        <v/>
      </c>
      <c r="P379" s="11">
        <f>Raw_Data!P379</f>
        <v/>
      </c>
      <c r="R379" s="9">
        <f>IFERROR(Cleaned_Data!M379/Cleaned_Data!K379,0)</f>
        <v/>
      </c>
    </row>
    <row r="380">
      <c r="A380" s="7">
        <f>Raw_Data!A380</f>
        <v/>
      </c>
      <c r="B380" s="8">
        <f>Raw_Data!B380</f>
        <v/>
      </c>
      <c r="C380" s="8">
        <f>Raw_Data!C380</f>
        <v/>
      </c>
      <c r="D380" s="7">
        <f>Raw_Data!D380</f>
        <v/>
      </c>
      <c r="E380" s="7">
        <f>Raw_Data!E380</f>
        <v/>
      </c>
      <c r="F380" s="8">
        <f>Raw_Data!F380</f>
        <v/>
      </c>
      <c r="G380" s="8">
        <f>Raw_Data!G380</f>
        <v/>
      </c>
      <c r="H380" s="7">
        <f>Raw_Data!H380</f>
        <v/>
      </c>
      <c r="I380" s="7">
        <f>Raw_Data!I380</f>
        <v/>
      </c>
      <c r="J380" s="8">
        <f>Raw_Data!J380</f>
        <v/>
      </c>
      <c r="K380" s="8">
        <f>Raw_Data!K380</f>
        <v/>
      </c>
      <c r="L380" s="8">
        <f>Raw_Data!L380</f>
        <v/>
      </c>
      <c r="M380" s="7">
        <f>Raw_Data!M380</f>
        <v/>
      </c>
      <c r="N380" s="7">
        <f>Raw_Data!N380</f>
        <v/>
      </c>
      <c r="O380" s="7">
        <f>Raw_Data!O380</f>
        <v/>
      </c>
      <c r="P380" s="8">
        <f>Raw_Data!P380</f>
        <v/>
      </c>
      <c r="R380" s="9">
        <f>IFERROR(Cleaned_Data!M380/Cleaned_Data!K380,0)</f>
        <v/>
      </c>
    </row>
    <row r="381">
      <c r="A381" s="10">
        <f>Raw_Data!A381</f>
        <v/>
      </c>
      <c r="B381" s="11">
        <f>Raw_Data!B381</f>
        <v/>
      </c>
      <c r="C381" s="11">
        <f>Raw_Data!C381</f>
        <v/>
      </c>
      <c r="D381" s="10">
        <f>Raw_Data!D381</f>
        <v/>
      </c>
      <c r="E381" s="10">
        <f>Raw_Data!E381</f>
        <v/>
      </c>
      <c r="F381" s="11">
        <f>Raw_Data!F381</f>
        <v/>
      </c>
      <c r="G381" s="11">
        <f>Raw_Data!G381</f>
        <v/>
      </c>
      <c r="H381" s="10">
        <f>Raw_Data!H381</f>
        <v/>
      </c>
      <c r="I381" s="10">
        <f>Raw_Data!I381</f>
        <v/>
      </c>
      <c r="J381" s="11">
        <f>Raw_Data!J381</f>
        <v/>
      </c>
      <c r="K381" s="11">
        <f>Raw_Data!K381</f>
        <v/>
      </c>
      <c r="L381" s="11">
        <f>Raw_Data!L381</f>
        <v/>
      </c>
      <c r="M381" s="10">
        <f>Raw_Data!M381</f>
        <v/>
      </c>
      <c r="N381" s="10">
        <f>Raw_Data!N381</f>
        <v/>
      </c>
      <c r="O381" s="10">
        <f>Raw_Data!O381</f>
        <v/>
      </c>
      <c r="P381" s="11">
        <f>Raw_Data!P381</f>
        <v/>
      </c>
      <c r="R381" s="9">
        <f>IFERROR(Cleaned_Data!M381/Cleaned_Data!K381,0)</f>
        <v/>
      </c>
    </row>
    <row r="382">
      <c r="A382" s="7">
        <f>Raw_Data!A382</f>
        <v/>
      </c>
      <c r="B382" s="8">
        <f>Raw_Data!B382</f>
        <v/>
      </c>
      <c r="C382" s="8">
        <f>Raw_Data!C382</f>
        <v/>
      </c>
      <c r="D382" s="7">
        <f>Raw_Data!D382</f>
        <v/>
      </c>
      <c r="E382" s="7">
        <f>Raw_Data!E382</f>
        <v/>
      </c>
      <c r="F382" s="8">
        <f>Raw_Data!F382</f>
        <v/>
      </c>
      <c r="G382" s="8">
        <f>Raw_Data!G382</f>
        <v/>
      </c>
      <c r="H382" s="7">
        <f>Raw_Data!H382</f>
        <v/>
      </c>
      <c r="I382" s="7">
        <f>Raw_Data!I382</f>
        <v/>
      </c>
      <c r="J382" s="8">
        <f>Raw_Data!J382</f>
        <v/>
      </c>
      <c r="K382" s="8">
        <f>Raw_Data!K382</f>
        <v/>
      </c>
      <c r="L382" s="8">
        <f>Raw_Data!L382</f>
        <v/>
      </c>
      <c r="M382" s="7">
        <f>Raw_Data!M382</f>
        <v/>
      </c>
      <c r="N382" s="7">
        <f>Raw_Data!N382</f>
        <v/>
      </c>
      <c r="O382" s="7">
        <f>Raw_Data!O382</f>
        <v/>
      </c>
      <c r="P382" s="8">
        <f>Raw_Data!P382</f>
        <v/>
      </c>
      <c r="R382" s="9">
        <f>IFERROR(Cleaned_Data!M382/Cleaned_Data!K382,0)</f>
        <v/>
      </c>
    </row>
    <row r="383">
      <c r="A383" s="10">
        <f>Raw_Data!A383</f>
        <v/>
      </c>
      <c r="B383" s="11">
        <f>Raw_Data!B383</f>
        <v/>
      </c>
      <c r="C383" s="11">
        <f>Raw_Data!C383</f>
        <v/>
      </c>
      <c r="D383" s="10">
        <f>Raw_Data!D383</f>
        <v/>
      </c>
      <c r="E383" s="10">
        <f>Raw_Data!E383</f>
        <v/>
      </c>
      <c r="F383" s="11">
        <f>Raw_Data!F383</f>
        <v/>
      </c>
      <c r="G383" s="11">
        <f>Raw_Data!G383</f>
        <v/>
      </c>
      <c r="H383" s="10">
        <f>Raw_Data!H383</f>
        <v/>
      </c>
      <c r="I383" s="10">
        <f>Raw_Data!I383</f>
        <v/>
      </c>
      <c r="J383" s="11">
        <f>Raw_Data!J383</f>
        <v/>
      </c>
      <c r="K383" s="11">
        <f>Raw_Data!K383</f>
        <v/>
      </c>
      <c r="L383" s="11">
        <f>Raw_Data!L383</f>
        <v/>
      </c>
      <c r="M383" s="10">
        <f>Raw_Data!M383</f>
        <v/>
      </c>
      <c r="N383" s="10">
        <f>Raw_Data!N383</f>
        <v/>
      </c>
      <c r="O383" s="10">
        <f>Raw_Data!O383</f>
        <v/>
      </c>
      <c r="P383" s="11">
        <f>Raw_Data!P383</f>
        <v/>
      </c>
      <c r="R383" s="9">
        <f>IFERROR(Cleaned_Data!M383/Cleaned_Data!K383,0)</f>
        <v/>
      </c>
    </row>
    <row r="384">
      <c r="A384" s="7">
        <f>Raw_Data!A384</f>
        <v/>
      </c>
      <c r="B384" s="8">
        <f>Raw_Data!B384</f>
        <v/>
      </c>
      <c r="C384" s="8">
        <f>Raw_Data!C384</f>
        <v/>
      </c>
      <c r="D384" s="7">
        <f>Raw_Data!D384</f>
        <v/>
      </c>
      <c r="E384" s="7">
        <f>Raw_Data!E384</f>
        <v/>
      </c>
      <c r="F384" s="8">
        <f>Raw_Data!F384</f>
        <v/>
      </c>
      <c r="G384" s="8">
        <f>Raw_Data!G384</f>
        <v/>
      </c>
      <c r="H384" s="7">
        <f>Raw_Data!H384</f>
        <v/>
      </c>
      <c r="I384" s="7">
        <f>Raw_Data!I384</f>
        <v/>
      </c>
      <c r="J384" s="8">
        <f>Raw_Data!J384</f>
        <v/>
      </c>
      <c r="K384" s="8">
        <f>Raw_Data!K384</f>
        <v/>
      </c>
      <c r="L384" s="8">
        <f>Raw_Data!L384</f>
        <v/>
      </c>
      <c r="M384" s="7">
        <f>Raw_Data!M384</f>
        <v/>
      </c>
      <c r="N384" s="7">
        <f>Raw_Data!N384</f>
        <v/>
      </c>
      <c r="O384" s="7">
        <f>Raw_Data!O384</f>
        <v/>
      </c>
      <c r="P384" s="8">
        <f>Raw_Data!P384</f>
        <v/>
      </c>
      <c r="R384" s="9">
        <f>IFERROR(Cleaned_Data!M384/Cleaned_Data!K384,0)</f>
        <v/>
      </c>
    </row>
    <row r="385">
      <c r="A385" s="10">
        <f>Raw_Data!A385</f>
        <v/>
      </c>
      <c r="B385" s="11">
        <f>Raw_Data!B385</f>
        <v/>
      </c>
      <c r="C385" s="11">
        <f>Raw_Data!C385</f>
        <v/>
      </c>
      <c r="D385" s="10">
        <f>Raw_Data!D385</f>
        <v/>
      </c>
      <c r="E385" s="10">
        <f>Raw_Data!E385</f>
        <v/>
      </c>
      <c r="F385" s="11">
        <f>Raw_Data!F385</f>
        <v/>
      </c>
      <c r="G385" s="11">
        <f>Raw_Data!G385</f>
        <v/>
      </c>
      <c r="H385" s="10">
        <f>Raw_Data!H385</f>
        <v/>
      </c>
      <c r="I385" s="10">
        <f>Raw_Data!I385</f>
        <v/>
      </c>
      <c r="J385" s="11">
        <f>Raw_Data!J385</f>
        <v/>
      </c>
      <c r="K385" s="11">
        <f>Raw_Data!K385</f>
        <v/>
      </c>
      <c r="L385" s="11">
        <f>Raw_Data!L385</f>
        <v/>
      </c>
      <c r="M385" s="10">
        <f>Raw_Data!M385</f>
        <v/>
      </c>
      <c r="N385" s="10">
        <f>Raw_Data!N385</f>
        <v/>
      </c>
      <c r="O385" s="10">
        <f>Raw_Data!O385</f>
        <v/>
      </c>
      <c r="P385" s="11">
        <f>Raw_Data!P385</f>
        <v/>
      </c>
      <c r="R385" s="9">
        <f>IFERROR(Cleaned_Data!M385/Cleaned_Data!K385,0)</f>
        <v/>
      </c>
    </row>
    <row r="386">
      <c r="A386" s="7">
        <f>Raw_Data!A386</f>
        <v/>
      </c>
      <c r="B386" s="8">
        <f>Raw_Data!B386</f>
        <v/>
      </c>
      <c r="C386" s="8">
        <f>Raw_Data!C386</f>
        <v/>
      </c>
      <c r="D386" s="7">
        <f>Raw_Data!D386</f>
        <v/>
      </c>
      <c r="E386" s="7">
        <f>Raw_Data!E386</f>
        <v/>
      </c>
      <c r="F386" s="8">
        <f>Raw_Data!F386</f>
        <v/>
      </c>
      <c r="G386" s="8">
        <f>Raw_Data!G386</f>
        <v/>
      </c>
      <c r="H386" s="7">
        <f>Raw_Data!H386</f>
        <v/>
      </c>
      <c r="I386" s="7">
        <f>Raw_Data!I386</f>
        <v/>
      </c>
      <c r="J386" s="8">
        <f>Raw_Data!J386</f>
        <v/>
      </c>
      <c r="K386" s="8">
        <f>Raw_Data!K386</f>
        <v/>
      </c>
      <c r="L386" s="8">
        <f>Raw_Data!L386</f>
        <v/>
      </c>
      <c r="M386" s="7">
        <f>Raw_Data!M386</f>
        <v/>
      </c>
      <c r="N386" s="7">
        <f>Raw_Data!N386</f>
        <v/>
      </c>
      <c r="O386" s="7">
        <f>Raw_Data!O386</f>
        <v/>
      </c>
      <c r="P386" s="8">
        <f>Raw_Data!P386</f>
        <v/>
      </c>
      <c r="R386" s="9">
        <f>IFERROR(Cleaned_Data!M386/Cleaned_Data!K386,0)</f>
        <v/>
      </c>
    </row>
    <row r="387">
      <c r="A387" s="10">
        <f>Raw_Data!A387</f>
        <v/>
      </c>
      <c r="B387" s="11">
        <f>Raw_Data!B387</f>
        <v/>
      </c>
      <c r="C387" s="11">
        <f>Raw_Data!C387</f>
        <v/>
      </c>
      <c r="D387" s="10">
        <f>Raw_Data!D387</f>
        <v/>
      </c>
      <c r="E387" s="10">
        <f>Raw_Data!E387</f>
        <v/>
      </c>
      <c r="F387" s="11">
        <f>Raw_Data!F387</f>
        <v/>
      </c>
      <c r="G387" s="11">
        <f>Raw_Data!G387</f>
        <v/>
      </c>
      <c r="H387" s="10">
        <f>Raw_Data!H387</f>
        <v/>
      </c>
      <c r="I387" s="10">
        <f>Raw_Data!I387</f>
        <v/>
      </c>
      <c r="J387" s="11">
        <f>Raw_Data!J387</f>
        <v/>
      </c>
      <c r="K387" s="11">
        <f>Raw_Data!K387</f>
        <v/>
      </c>
      <c r="L387" s="11">
        <f>Raw_Data!L387</f>
        <v/>
      </c>
      <c r="M387" s="10">
        <f>Raw_Data!M387</f>
        <v/>
      </c>
      <c r="N387" s="10">
        <f>Raw_Data!N387</f>
        <v/>
      </c>
      <c r="O387" s="10">
        <f>Raw_Data!O387</f>
        <v/>
      </c>
      <c r="P387" s="11">
        <f>Raw_Data!P387</f>
        <v/>
      </c>
      <c r="R387" s="9">
        <f>IFERROR(Cleaned_Data!M387/Cleaned_Data!K387,0)</f>
        <v/>
      </c>
    </row>
    <row r="388">
      <c r="A388" s="7">
        <f>Raw_Data!A388</f>
        <v/>
      </c>
      <c r="B388" s="8">
        <f>Raw_Data!B388</f>
        <v/>
      </c>
      <c r="C388" s="8">
        <f>Raw_Data!C388</f>
        <v/>
      </c>
      <c r="D388" s="7">
        <f>Raw_Data!D388</f>
        <v/>
      </c>
      <c r="E388" s="7">
        <f>Raw_Data!E388</f>
        <v/>
      </c>
      <c r="F388" s="8">
        <f>Raw_Data!F388</f>
        <v/>
      </c>
      <c r="G388" s="8">
        <f>Raw_Data!G388</f>
        <v/>
      </c>
      <c r="H388" s="7">
        <f>Raw_Data!H388</f>
        <v/>
      </c>
      <c r="I388" s="7">
        <f>Raw_Data!I388</f>
        <v/>
      </c>
      <c r="J388" s="8">
        <f>Raw_Data!J388</f>
        <v/>
      </c>
      <c r="K388" s="8">
        <f>Raw_Data!K388</f>
        <v/>
      </c>
      <c r="L388" s="8">
        <f>Raw_Data!L388</f>
        <v/>
      </c>
      <c r="M388" s="7">
        <f>Raw_Data!M388</f>
        <v/>
      </c>
      <c r="N388" s="7">
        <f>Raw_Data!N388</f>
        <v/>
      </c>
      <c r="O388" s="7">
        <f>Raw_Data!O388</f>
        <v/>
      </c>
      <c r="P388" s="8">
        <f>Raw_Data!P388</f>
        <v/>
      </c>
      <c r="R388" s="9">
        <f>IFERROR(Cleaned_Data!M388/Cleaned_Data!K388,0)</f>
        <v/>
      </c>
    </row>
    <row r="389">
      <c r="A389" s="10">
        <f>Raw_Data!A389</f>
        <v/>
      </c>
      <c r="B389" s="11">
        <f>Raw_Data!B389</f>
        <v/>
      </c>
      <c r="C389" s="11">
        <f>Raw_Data!C389</f>
        <v/>
      </c>
      <c r="D389" s="10">
        <f>Raw_Data!D389</f>
        <v/>
      </c>
      <c r="E389" s="10">
        <f>Raw_Data!E389</f>
        <v/>
      </c>
      <c r="F389" s="11">
        <f>Raw_Data!F389</f>
        <v/>
      </c>
      <c r="G389" s="11">
        <f>Raw_Data!G389</f>
        <v/>
      </c>
      <c r="H389" s="10">
        <f>Raw_Data!H389</f>
        <v/>
      </c>
      <c r="I389" s="10">
        <f>Raw_Data!I389</f>
        <v/>
      </c>
      <c r="J389" s="11">
        <f>Raw_Data!J389</f>
        <v/>
      </c>
      <c r="K389" s="11">
        <f>Raw_Data!K389</f>
        <v/>
      </c>
      <c r="L389" s="11">
        <f>Raw_Data!L389</f>
        <v/>
      </c>
      <c r="M389" s="10">
        <f>Raw_Data!M389</f>
        <v/>
      </c>
      <c r="N389" s="10">
        <f>Raw_Data!N389</f>
        <v/>
      </c>
      <c r="O389" s="10">
        <f>Raw_Data!O389</f>
        <v/>
      </c>
      <c r="P389" s="11">
        <f>Raw_Data!P389</f>
        <v/>
      </c>
      <c r="R389" s="9">
        <f>IFERROR(Cleaned_Data!M389/Cleaned_Data!K389,0)</f>
        <v/>
      </c>
    </row>
    <row r="390">
      <c r="A390" s="7">
        <f>Raw_Data!A390</f>
        <v/>
      </c>
      <c r="B390" s="8">
        <f>Raw_Data!B390</f>
        <v/>
      </c>
      <c r="C390" s="8">
        <f>Raw_Data!C390</f>
        <v/>
      </c>
      <c r="D390" s="7">
        <f>Raw_Data!D390</f>
        <v/>
      </c>
      <c r="E390" s="7">
        <f>Raw_Data!E390</f>
        <v/>
      </c>
      <c r="F390" s="8">
        <f>Raw_Data!F390</f>
        <v/>
      </c>
      <c r="G390" s="8">
        <f>Raw_Data!G390</f>
        <v/>
      </c>
      <c r="H390" s="7">
        <f>Raw_Data!H390</f>
        <v/>
      </c>
      <c r="I390" s="7">
        <f>Raw_Data!I390</f>
        <v/>
      </c>
      <c r="J390" s="8">
        <f>Raw_Data!J390</f>
        <v/>
      </c>
      <c r="K390" s="8">
        <f>Raw_Data!K390</f>
        <v/>
      </c>
      <c r="L390" s="8">
        <f>Raw_Data!L390</f>
        <v/>
      </c>
      <c r="M390" s="7">
        <f>Raw_Data!M390</f>
        <v/>
      </c>
      <c r="N390" s="7">
        <f>Raw_Data!N390</f>
        <v/>
      </c>
      <c r="O390" s="7">
        <f>Raw_Data!O390</f>
        <v/>
      </c>
      <c r="P390" s="8">
        <f>Raw_Data!P390</f>
        <v/>
      </c>
      <c r="R390" s="9">
        <f>IFERROR(Cleaned_Data!M390/Cleaned_Data!K390,0)</f>
        <v/>
      </c>
    </row>
    <row r="391">
      <c r="A391" s="10">
        <f>Raw_Data!A391</f>
        <v/>
      </c>
      <c r="B391" s="11">
        <f>Raw_Data!B391</f>
        <v/>
      </c>
      <c r="C391" s="11">
        <f>Raw_Data!C391</f>
        <v/>
      </c>
      <c r="D391" s="10">
        <f>Raw_Data!D391</f>
        <v/>
      </c>
      <c r="E391" s="10">
        <f>Raw_Data!E391</f>
        <v/>
      </c>
      <c r="F391" s="11">
        <f>Raw_Data!F391</f>
        <v/>
      </c>
      <c r="G391" s="11">
        <f>Raw_Data!G391</f>
        <v/>
      </c>
      <c r="H391" s="10">
        <f>Raw_Data!H391</f>
        <v/>
      </c>
      <c r="I391" s="10">
        <f>Raw_Data!I391</f>
        <v/>
      </c>
      <c r="J391" s="11">
        <f>Raw_Data!J391</f>
        <v/>
      </c>
      <c r="K391" s="11">
        <f>Raw_Data!K391</f>
        <v/>
      </c>
      <c r="L391" s="11">
        <f>Raw_Data!L391</f>
        <v/>
      </c>
      <c r="M391" s="10">
        <f>Raw_Data!M391</f>
        <v/>
      </c>
      <c r="N391" s="10">
        <f>Raw_Data!N391</f>
        <v/>
      </c>
      <c r="O391" s="10">
        <f>Raw_Data!O391</f>
        <v/>
      </c>
      <c r="P391" s="11">
        <f>Raw_Data!P391</f>
        <v/>
      </c>
      <c r="R391" s="9">
        <f>IFERROR(Cleaned_Data!M391/Cleaned_Data!K391,0)</f>
        <v/>
      </c>
    </row>
    <row r="392">
      <c r="A392" s="7">
        <f>Raw_Data!A392</f>
        <v/>
      </c>
      <c r="B392" s="8">
        <f>Raw_Data!B392</f>
        <v/>
      </c>
      <c r="C392" s="8">
        <f>Raw_Data!C392</f>
        <v/>
      </c>
      <c r="D392" s="7">
        <f>Raw_Data!D392</f>
        <v/>
      </c>
      <c r="E392" s="7">
        <f>Raw_Data!E392</f>
        <v/>
      </c>
      <c r="F392" s="8">
        <f>Raw_Data!F392</f>
        <v/>
      </c>
      <c r="G392" s="8">
        <f>Raw_Data!G392</f>
        <v/>
      </c>
      <c r="H392" s="7">
        <f>Raw_Data!H392</f>
        <v/>
      </c>
      <c r="I392" s="7">
        <f>Raw_Data!I392</f>
        <v/>
      </c>
      <c r="J392" s="8">
        <f>Raw_Data!J392</f>
        <v/>
      </c>
      <c r="K392" s="8">
        <f>Raw_Data!K392</f>
        <v/>
      </c>
      <c r="L392" s="8">
        <f>Raw_Data!L392</f>
        <v/>
      </c>
      <c r="M392" s="7">
        <f>Raw_Data!M392</f>
        <v/>
      </c>
      <c r="N392" s="7">
        <f>Raw_Data!N392</f>
        <v/>
      </c>
      <c r="O392" s="7">
        <f>Raw_Data!O392</f>
        <v/>
      </c>
      <c r="P392" s="8">
        <f>Raw_Data!P392</f>
        <v/>
      </c>
      <c r="R392" s="9">
        <f>IFERROR(Cleaned_Data!M392/Cleaned_Data!K392,0)</f>
        <v/>
      </c>
    </row>
    <row r="393">
      <c r="A393" s="10">
        <f>Raw_Data!A393</f>
        <v/>
      </c>
      <c r="B393" s="11">
        <f>Raw_Data!B393</f>
        <v/>
      </c>
      <c r="C393" s="11">
        <f>Raw_Data!C393</f>
        <v/>
      </c>
      <c r="D393" s="10">
        <f>Raw_Data!D393</f>
        <v/>
      </c>
      <c r="E393" s="10">
        <f>Raw_Data!E393</f>
        <v/>
      </c>
      <c r="F393" s="11">
        <f>Raw_Data!F393</f>
        <v/>
      </c>
      <c r="G393" s="11">
        <f>Raw_Data!G393</f>
        <v/>
      </c>
      <c r="H393" s="10">
        <f>Raw_Data!H393</f>
        <v/>
      </c>
      <c r="I393" s="10">
        <f>Raw_Data!I393</f>
        <v/>
      </c>
      <c r="J393" s="11">
        <f>Raw_Data!J393</f>
        <v/>
      </c>
      <c r="K393" s="11">
        <f>Raw_Data!K393</f>
        <v/>
      </c>
      <c r="L393" s="11">
        <f>Raw_Data!L393</f>
        <v/>
      </c>
      <c r="M393" s="10">
        <f>Raw_Data!M393</f>
        <v/>
      </c>
      <c r="N393" s="10">
        <f>Raw_Data!N393</f>
        <v/>
      </c>
      <c r="O393" s="10">
        <f>Raw_Data!O393</f>
        <v/>
      </c>
      <c r="P393" s="11">
        <f>Raw_Data!P393</f>
        <v/>
      </c>
      <c r="R393" s="9">
        <f>IFERROR(Cleaned_Data!M393/Cleaned_Data!K393,0)</f>
        <v/>
      </c>
    </row>
    <row r="394">
      <c r="A394" s="7">
        <f>Raw_Data!A394</f>
        <v/>
      </c>
      <c r="B394" s="8">
        <f>Raw_Data!B394</f>
        <v/>
      </c>
      <c r="C394" s="8">
        <f>Raw_Data!C394</f>
        <v/>
      </c>
      <c r="D394" s="7">
        <f>Raw_Data!D394</f>
        <v/>
      </c>
      <c r="E394" s="7">
        <f>Raw_Data!E394</f>
        <v/>
      </c>
      <c r="F394" s="8">
        <f>Raw_Data!F394</f>
        <v/>
      </c>
      <c r="G394" s="8">
        <f>Raw_Data!G394</f>
        <v/>
      </c>
      <c r="H394" s="7">
        <f>Raw_Data!H394</f>
        <v/>
      </c>
      <c r="I394" s="7">
        <f>Raw_Data!I394</f>
        <v/>
      </c>
      <c r="J394" s="8">
        <f>Raw_Data!J394</f>
        <v/>
      </c>
      <c r="K394" s="8">
        <f>Raw_Data!K394</f>
        <v/>
      </c>
      <c r="L394" s="8">
        <f>Raw_Data!L394</f>
        <v/>
      </c>
      <c r="M394" s="7">
        <f>Raw_Data!M394</f>
        <v/>
      </c>
      <c r="N394" s="7">
        <f>Raw_Data!N394</f>
        <v/>
      </c>
      <c r="O394" s="7">
        <f>Raw_Data!O394</f>
        <v/>
      </c>
      <c r="P394" s="8">
        <f>Raw_Data!P394</f>
        <v/>
      </c>
      <c r="R394" s="9">
        <f>IFERROR(Cleaned_Data!M394/Cleaned_Data!K394,0)</f>
        <v/>
      </c>
    </row>
    <row r="395">
      <c r="A395" s="10">
        <f>Raw_Data!A395</f>
        <v/>
      </c>
      <c r="B395" s="11">
        <f>Raw_Data!B395</f>
        <v/>
      </c>
      <c r="C395" s="11">
        <f>Raw_Data!C395</f>
        <v/>
      </c>
      <c r="D395" s="10">
        <f>Raw_Data!D395</f>
        <v/>
      </c>
      <c r="E395" s="10">
        <f>Raw_Data!E395</f>
        <v/>
      </c>
      <c r="F395" s="11">
        <f>Raw_Data!F395</f>
        <v/>
      </c>
      <c r="G395" s="11">
        <f>Raw_Data!G395</f>
        <v/>
      </c>
      <c r="H395" s="10">
        <f>Raw_Data!H395</f>
        <v/>
      </c>
      <c r="I395" s="10">
        <f>Raw_Data!I395</f>
        <v/>
      </c>
      <c r="J395" s="11">
        <f>Raw_Data!J395</f>
        <v/>
      </c>
      <c r="K395" s="11">
        <f>Raw_Data!K395</f>
        <v/>
      </c>
      <c r="L395" s="11">
        <f>Raw_Data!L395</f>
        <v/>
      </c>
      <c r="M395" s="10">
        <f>Raw_Data!M395</f>
        <v/>
      </c>
      <c r="N395" s="10">
        <f>Raw_Data!N395</f>
        <v/>
      </c>
      <c r="O395" s="10">
        <f>Raw_Data!O395</f>
        <v/>
      </c>
      <c r="P395" s="11">
        <f>Raw_Data!P395</f>
        <v/>
      </c>
      <c r="R395" s="9">
        <f>IFERROR(Cleaned_Data!M395/Cleaned_Data!K395,0)</f>
        <v/>
      </c>
    </row>
    <row r="396">
      <c r="A396" s="7">
        <f>Raw_Data!A396</f>
        <v/>
      </c>
      <c r="B396" s="8">
        <f>Raw_Data!B396</f>
        <v/>
      </c>
      <c r="C396" s="8">
        <f>Raw_Data!C396</f>
        <v/>
      </c>
      <c r="D396" s="7">
        <f>Raw_Data!D396</f>
        <v/>
      </c>
      <c r="E396" s="7">
        <f>Raw_Data!E396</f>
        <v/>
      </c>
      <c r="F396" s="8">
        <f>Raw_Data!F396</f>
        <v/>
      </c>
      <c r="G396" s="8">
        <f>Raw_Data!G396</f>
        <v/>
      </c>
      <c r="H396" s="7">
        <f>Raw_Data!H396</f>
        <v/>
      </c>
      <c r="I396" s="7">
        <f>Raw_Data!I396</f>
        <v/>
      </c>
      <c r="J396" s="8">
        <f>Raw_Data!J396</f>
        <v/>
      </c>
      <c r="K396" s="8">
        <f>Raw_Data!K396</f>
        <v/>
      </c>
      <c r="L396" s="8">
        <f>Raw_Data!L396</f>
        <v/>
      </c>
      <c r="M396" s="7">
        <f>Raw_Data!M396</f>
        <v/>
      </c>
      <c r="N396" s="7">
        <f>Raw_Data!N396</f>
        <v/>
      </c>
      <c r="O396" s="7">
        <f>Raw_Data!O396</f>
        <v/>
      </c>
      <c r="P396" s="8">
        <f>Raw_Data!P396</f>
        <v/>
      </c>
      <c r="R396" s="9">
        <f>IFERROR(Cleaned_Data!M396/Cleaned_Data!K396,0)</f>
        <v/>
      </c>
    </row>
    <row r="397">
      <c r="A397" s="10">
        <f>Raw_Data!A397</f>
        <v/>
      </c>
      <c r="B397" s="11">
        <f>Raw_Data!B397</f>
        <v/>
      </c>
      <c r="C397" s="11">
        <f>Raw_Data!C397</f>
        <v/>
      </c>
      <c r="D397" s="10">
        <f>Raw_Data!D397</f>
        <v/>
      </c>
      <c r="E397" s="10">
        <f>Raw_Data!E397</f>
        <v/>
      </c>
      <c r="F397" s="11">
        <f>Raw_Data!F397</f>
        <v/>
      </c>
      <c r="G397" s="11">
        <f>Raw_Data!G397</f>
        <v/>
      </c>
      <c r="H397" s="10">
        <f>Raw_Data!H397</f>
        <v/>
      </c>
      <c r="I397" s="10">
        <f>Raw_Data!I397</f>
        <v/>
      </c>
      <c r="J397" s="11">
        <f>Raw_Data!J397</f>
        <v/>
      </c>
      <c r="K397" s="11">
        <f>Raw_Data!K397</f>
        <v/>
      </c>
      <c r="L397" s="11">
        <f>Raw_Data!L397</f>
        <v/>
      </c>
      <c r="M397" s="10">
        <f>Raw_Data!M397</f>
        <v/>
      </c>
      <c r="N397" s="10">
        <f>Raw_Data!N397</f>
        <v/>
      </c>
      <c r="O397" s="10">
        <f>Raw_Data!O397</f>
        <v/>
      </c>
      <c r="P397" s="11">
        <f>Raw_Data!P397</f>
        <v/>
      </c>
      <c r="R397" s="9">
        <f>IFERROR(Cleaned_Data!M397/Cleaned_Data!K397,0)</f>
        <v/>
      </c>
    </row>
    <row r="398">
      <c r="A398" s="7">
        <f>Raw_Data!A398</f>
        <v/>
      </c>
      <c r="B398" s="8">
        <f>Raw_Data!B398</f>
        <v/>
      </c>
      <c r="C398" s="8">
        <f>Raw_Data!C398</f>
        <v/>
      </c>
      <c r="D398" s="7">
        <f>Raw_Data!D398</f>
        <v/>
      </c>
      <c r="E398" s="7">
        <f>Raw_Data!E398</f>
        <v/>
      </c>
      <c r="F398" s="8">
        <f>Raw_Data!F398</f>
        <v/>
      </c>
      <c r="G398" s="8">
        <f>Raw_Data!G398</f>
        <v/>
      </c>
      <c r="H398" s="7">
        <f>Raw_Data!H398</f>
        <v/>
      </c>
      <c r="I398" s="7">
        <f>Raw_Data!I398</f>
        <v/>
      </c>
      <c r="J398" s="8">
        <f>Raw_Data!J398</f>
        <v/>
      </c>
      <c r="K398" s="8">
        <f>Raw_Data!K398</f>
        <v/>
      </c>
      <c r="L398" s="8">
        <f>Raw_Data!L398</f>
        <v/>
      </c>
      <c r="M398" s="7">
        <f>Raw_Data!M398</f>
        <v/>
      </c>
      <c r="N398" s="7">
        <f>Raw_Data!N398</f>
        <v/>
      </c>
      <c r="O398" s="7">
        <f>Raw_Data!O398</f>
        <v/>
      </c>
      <c r="P398" s="8">
        <f>Raw_Data!P398</f>
        <v/>
      </c>
      <c r="R398" s="9">
        <f>IFERROR(Cleaned_Data!M398/Cleaned_Data!K398,0)</f>
        <v/>
      </c>
    </row>
    <row r="399">
      <c r="A399" s="10">
        <f>Raw_Data!A399</f>
        <v/>
      </c>
      <c r="B399" s="11">
        <f>Raw_Data!B399</f>
        <v/>
      </c>
      <c r="C399" s="11">
        <f>Raw_Data!C399</f>
        <v/>
      </c>
      <c r="D399" s="10">
        <f>Raw_Data!D399</f>
        <v/>
      </c>
      <c r="E399" s="10">
        <f>Raw_Data!E399</f>
        <v/>
      </c>
      <c r="F399" s="11">
        <f>Raw_Data!F399</f>
        <v/>
      </c>
      <c r="G399" s="11">
        <f>Raw_Data!G399</f>
        <v/>
      </c>
      <c r="H399" s="10">
        <f>Raw_Data!H399</f>
        <v/>
      </c>
      <c r="I399" s="10">
        <f>Raw_Data!I399</f>
        <v/>
      </c>
      <c r="J399" s="11">
        <f>Raw_Data!J399</f>
        <v/>
      </c>
      <c r="K399" s="11">
        <f>Raw_Data!K399</f>
        <v/>
      </c>
      <c r="L399" s="11">
        <f>Raw_Data!L399</f>
        <v/>
      </c>
      <c r="M399" s="10">
        <f>Raw_Data!M399</f>
        <v/>
      </c>
      <c r="N399" s="10">
        <f>Raw_Data!N399</f>
        <v/>
      </c>
      <c r="O399" s="10">
        <f>Raw_Data!O399</f>
        <v/>
      </c>
      <c r="P399" s="11">
        <f>Raw_Data!P399</f>
        <v/>
      </c>
      <c r="R399" s="9">
        <f>IFERROR(Cleaned_Data!M399/Cleaned_Data!K399,0)</f>
        <v/>
      </c>
    </row>
    <row r="400">
      <c r="A400" s="7">
        <f>Raw_Data!A400</f>
        <v/>
      </c>
      <c r="B400" s="8">
        <f>Raw_Data!B400</f>
        <v/>
      </c>
      <c r="C400" s="8">
        <f>Raw_Data!C400</f>
        <v/>
      </c>
      <c r="D400" s="7">
        <f>Raw_Data!D400</f>
        <v/>
      </c>
      <c r="E400" s="7">
        <f>Raw_Data!E400</f>
        <v/>
      </c>
      <c r="F400" s="8">
        <f>Raw_Data!F400</f>
        <v/>
      </c>
      <c r="G400" s="8">
        <f>Raw_Data!G400</f>
        <v/>
      </c>
      <c r="H400" s="7">
        <f>Raw_Data!H400</f>
        <v/>
      </c>
      <c r="I400" s="7">
        <f>Raw_Data!I400</f>
        <v/>
      </c>
      <c r="J400" s="8">
        <f>Raw_Data!J400</f>
        <v/>
      </c>
      <c r="K400" s="8">
        <f>Raw_Data!K400</f>
        <v/>
      </c>
      <c r="L400" s="8">
        <f>Raw_Data!L400</f>
        <v/>
      </c>
      <c r="M400" s="7">
        <f>Raw_Data!M400</f>
        <v/>
      </c>
      <c r="N400" s="7">
        <f>Raw_Data!N400</f>
        <v/>
      </c>
      <c r="O400" s="7">
        <f>Raw_Data!O400</f>
        <v/>
      </c>
      <c r="P400" s="8">
        <f>Raw_Data!P400</f>
        <v/>
      </c>
      <c r="R400" s="9">
        <f>IFERROR(Cleaned_Data!M400/Cleaned_Data!K400,0)</f>
        <v/>
      </c>
    </row>
    <row r="401">
      <c r="A401" s="10">
        <f>Raw_Data!A401</f>
        <v/>
      </c>
      <c r="B401" s="11">
        <f>Raw_Data!B401</f>
        <v/>
      </c>
      <c r="C401" s="11">
        <f>Raw_Data!C401</f>
        <v/>
      </c>
      <c r="D401" s="10">
        <f>Raw_Data!D401</f>
        <v/>
      </c>
      <c r="E401" s="10">
        <f>Raw_Data!E401</f>
        <v/>
      </c>
      <c r="F401" s="11">
        <f>Raw_Data!F401</f>
        <v/>
      </c>
      <c r="G401" s="11">
        <f>Raw_Data!G401</f>
        <v/>
      </c>
      <c r="H401" s="10">
        <f>Raw_Data!H401</f>
        <v/>
      </c>
      <c r="I401" s="10">
        <f>Raw_Data!I401</f>
        <v/>
      </c>
      <c r="J401" s="11">
        <f>Raw_Data!J401</f>
        <v/>
      </c>
      <c r="K401" s="11">
        <f>Raw_Data!K401</f>
        <v/>
      </c>
      <c r="L401" s="11">
        <f>Raw_Data!L401</f>
        <v/>
      </c>
      <c r="M401" s="10">
        <f>Raw_Data!M401</f>
        <v/>
      </c>
      <c r="N401" s="10">
        <f>Raw_Data!N401</f>
        <v/>
      </c>
      <c r="O401" s="10">
        <f>Raw_Data!O401</f>
        <v/>
      </c>
      <c r="P401" s="11">
        <f>Raw_Data!P401</f>
        <v/>
      </c>
      <c r="R401" s="9">
        <f>IFERROR(Cleaned_Data!M401/Cleaned_Data!K401,0)</f>
        <v/>
      </c>
    </row>
    <row r="402">
      <c r="A402" s="7">
        <f>Raw_Data!A402</f>
        <v/>
      </c>
      <c r="B402" s="8">
        <f>Raw_Data!B402</f>
        <v/>
      </c>
      <c r="C402" s="8">
        <f>Raw_Data!C402</f>
        <v/>
      </c>
      <c r="D402" s="7">
        <f>Raw_Data!D402</f>
        <v/>
      </c>
      <c r="E402" s="7">
        <f>Raw_Data!E402</f>
        <v/>
      </c>
      <c r="F402" s="8">
        <f>Raw_Data!F402</f>
        <v/>
      </c>
      <c r="G402" s="8">
        <f>Raw_Data!G402</f>
        <v/>
      </c>
      <c r="H402" s="7">
        <f>Raw_Data!H402</f>
        <v/>
      </c>
      <c r="I402" s="7">
        <f>Raw_Data!I402</f>
        <v/>
      </c>
      <c r="J402" s="8">
        <f>Raw_Data!J402</f>
        <v/>
      </c>
      <c r="K402" s="8">
        <f>Raw_Data!K402</f>
        <v/>
      </c>
      <c r="L402" s="8">
        <f>Raw_Data!L402</f>
        <v/>
      </c>
      <c r="M402" s="7">
        <f>Raw_Data!M402</f>
        <v/>
      </c>
      <c r="N402" s="7">
        <f>Raw_Data!N402</f>
        <v/>
      </c>
      <c r="O402" s="7">
        <f>Raw_Data!O402</f>
        <v/>
      </c>
      <c r="P402" s="8">
        <f>Raw_Data!P402</f>
        <v/>
      </c>
      <c r="R402" s="9">
        <f>IFERROR(Cleaned_Data!M402/Cleaned_Data!K402,0)</f>
        <v/>
      </c>
    </row>
    <row r="403">
      <c r="A403" s="10">
        <f>Raw_Data!A403</f>
        <v/>
      </c>
      <c r="B403" s="11">
        <f>Raw_Data!B403</f>
        <v/>
      </c>
      <c r="C403" s="11">
        <f>Raw_Data!C403</f>
        <v/>
      </c>
      <c r="D403" s="10">
        <f>Raw_Data!D403</f>
        <v/>
      </c>
      <c r="E403" s="10">
        <f>Raw_Data!E403</f>
        <v/>
      </c>
      <c r="F403" s="11">
        <f>Raw_Data!F403</f>
        <v/>
      </c>
      <c r="G403" s="11">
        <f>Raw_Data!G403</f>
        <v/>
      </c>
      <c r="H403" s="10">
        <f>Raw_Data!H403</f>
        <v/>
      </c>
      <c r="I403" s="10">
        <f>Raw_Data!I403</f>
        <v/>
      </c>
      <c r="J403" s="11">
        <f>Raw_Data!J403</f>
        <v/>
      </c>
      <c r="K403" s="11">
        <f>Raw_Data!K403</f>
        <v/>
      </c>
      <c r="L403" s="11">
        <f>Raw_Data!L403</f>
        <v/>
      </c>
      <c r="M403" s="10">
        <f>Raw_Data!M403</f>
        <v/>
      </c>
      <c r="N403" s="10">
        <f>Raw_Data!N403</f>
        <v/>
      </c>
      <c r="O403" s="10">
        <f>Raw_Data!O403</f>
        <v/>
      </c>
      <c r="P403" s="11">
        <f>Raw_Data!P403</f>
        <v/>
      </c>
      <c r="R403" s="9">
        <f>IFERROR(Cleaned_Data!M403/Cleaned_Data!K403,0)</f>
        <v/>
      </c>
    </row>
    <row r="404">
      <c r="A404" s="7">
        <f>Raw_Data!A404</f>
        <v/>
      </c>
      <c r="B404" s="8">
        <f>Raw_Data!B404</f>
        <v/>
      </c>
      <c r="C404" s="8">
        <f>Raw_Data!C404</f>
        <v/>
      </c>
      <c r="D404" s="7">
        <f>Raw_Data!D404</f>
        <v/>
      </c>
      <c r="E404" s="7">
        <f>Raw_Data!E404</f>
        <v/>
      </c>
      <c r="F404" s="8">
        <f>Raw_Data!F404</f>
        <v/>
      </c>
      <c r="G404" s="8">
        <f>Raw_Data!G404</f>
        <v/>
      </c>
      <c r="H404" s="7">
        <f>Raw_Data!H404</f>
        <v/>
      </c>
      <c r="I404" s="7">
        <f>Raw_Data!I404</f>
        <v/>
      </c>
      <c r="J404" s="8">
        <f>Raw_Data!J404</f>
        <v/>
      </c>
      <c r="K404" s="8">
        <f>Raw_Data!K404</f>
        <v/>
      </c>
      <c r="L404" s="8">
        <f>Raw_Data!L404</f>
        <v/>
      </c>
      <c r="M404" s="7">
        <f>Raw_Data!M404</f>
        <v/>
      </c>
      <c r="N404" s="7">
        <f>Raw_Data!N404</f>
        <v/>
      </c>
      <c r="O404" s="7">
        <f>Raw_Data!O404</f>
        <v/>
      </c>
      <c r="P404" s="8">
        <f>Raw_Data!P404</f>
        <v/>
      </c>
      <c r="R404" s="9">
        <f>IFERROR(Cleaned_Data!M404/Cleaned_Data!K404,0)</f>
        <v/>
      </c>
    </row>
    <row r="405">
      <c r="A405" s="10">
        <f>Raw_Data!A405</f>
        <v/>
      </c>
      <c r="B405" s="11">
        <f>Raw_Data!B405</f>
        <v/>
      </c>
      <c r="C405" s="11">
        <f>Raw_Data!C405</f>
        <v/>
      </c>
      <c r="D405" s="10">
        <f>Raw_Data!D405</f>
        <v/>
      </c>
      <c r="E405" s="10">
        <f>Raw_Data!E405</f>
        <v/>
      </c>
      <c r="F405" s="11">
        <f>Raw_Data!F405</f>
        <v/>
      </c>
      <c r="G405" s="11">
        <f>Raw_Data!G405</f>
        <v/>
      </c>
      <c r="H405" s="10">
        <f>Raw_Data!H405</f>
        <v/>
      </c>
      <c r="I405" s="10">
        <f>Raw_Data!I405</f>
        <v/>
      </c>
      <c r="J405" s="11">
        <f>Raw_Data!J405</f>
        <v/>
      </c>
      <c r="K405" s="11">
        <f>Raw_Data!K405</f>
        <v/>
      </c>
      <c r="L405" s="11">
        <f>Raw_Data!L405</f>
        <v/>
      </c>
      <c r="M405" s="10">
        <f>Raw_Data!M405</f>
        <v/>
      </c>
      <c r="N405" s="10">
        <f>Raw_Data!N405</f>
        <v/>
      </c>
      <c r="O405" s="10">
        <f>Raw_Data!O405</f>
        <v/>
      </c>
      <c r="P405" s="11">
        <f>Raw_Data!P405</f>
        <v/>
      </c>
      <c r="R405" s="9">
        <f>IFERROR(Cleaned_Data!M405/Cleaned_Data!K405,0)</f>
        <v/>
      </c>
    </row>
    <row r="406">
      <c r="A406" s="7">
        <f>Raw_Data!A406</f>
        <v/>
      </c>
      <c r="B406" s="8">
        <f>Raw_Data!B406</f>
        <v/>
      </c>
      <c r="C406" s="8">
        <f>Raw_Data!C406</f>
        <v/>
      </c>
      <c r="D406" s="7">
        <f>Raw_Data!D406</f>
        <v/>
      </c>
      <c r="E406" s="7">
        <f>Raw_Data!E406</f>
        <v/>
      </c>
      <c r="F406" s="8">
        <f>Raw_Data!F406</f>
        <v/>
      </c>
      <c r="G406" s="8">
        <f>Raw_Data!G406</f>
        <v/>
      </c>
      <c r="H406" s="7">
        <f>Raw_Data!H406</f>
        <v/>
      </c>
      <c r="I406" s="7">
        <f>Raw_Data!I406</f>
        <v/>
      </c>
      <c r="J406" s="8">
        <f>Raw_Data!J406</f>
        <v/>
      </c>
      <c r="K406" s="8">
        <f>Raw_Data!K406</f>
        <v/>
      </c>
      <c r="L406" s="8">
        <f>Raw_Data!L406</f>
        <v/>
      </c>
      <c r="M406" s="7">
        <f>Raw_Data!M406</f>
        <v/>
      </c>
      <c r="N406" s="7">
        <f>Raw_Data!N406</f>
        <v/>
      </c>
      <c r="O406" s="7">
        <f>Raw_Data!O406</f>
        <v/>
      </c>
      <c r="P406" s="8">
        <f>Raw_Data!P406</f>
        <v/>
      </c>
      <c r="R406" s="9">
        <f>IFERROR(Cleaned_Data!M406/Cleaned_Data!K406,0)</f>
        <v/>
      </c>
    </row>
    <row r="407">
      <c r="A407" s="10">
        <f>Raw_Data!A407</f>
        <v/>
      </c>
      <c r="B407" s="11">
        <f>Raw_Data!B407</f>
        <v/>
      </c>
      <c r="C407" s="11">
        <f>Raw_Data!C407</f>
        <v/>
      </c>
      <c r="D407" s="10">
        <f>Raw_Data!D407</f>
        <v/>
      </c>
      <c r="E407" s="10">
        <f>Raw_Data!E407</f>
        <v/>
      </c>
      <c r="F407" s="11">
        <f>Raw_Data!F407</f>
        <v/>
      </c>
      <c r="G407" s="11">
        <f>Raw_Data!G407</f>
        <v/>
      </c>
      <c r="H407" s="10">
        <f>Raw_Data!H407</f>
        <v/>
      </c>
      <c r="I407" s="10">
        <f>Raw_Data!I407</f>
        <v/>
      </c>
      <c r="J407" s="11">
        <f>Raw_Data!J407</f>
        <v/>
      </c>
      <c r="K407" s="11">
        <f>Raw_Data!K407</f>
        <v/>
      </c>
      <c r="L407" s="11">
        <f>Raw_Data!L407</f>
        <v/>
      </c>
      <c r="M407" s="10">
        <f>Raw_Data!M407</f>
        <v/>
      </c>
      <c r="N407" s="10">
        <f>Raw_Data!N407</f>
        <v/>
      </c>
      <c r="O407" s="10">
        <f>Raw_Data!O407</f>
        <v/>
      </c>
      <c r="P407" s="11">
        <f>Raw_Data!P407</f>
        <v/>
      </c>
      <c r="R407" s="9">
        <f>IFERROR(Cleaned_Data!M407/Cleaned_Data!K407,0)</f>
        <v/>
      </c>
    </row>
    <row r="408">
      <c r="A408" s="7">
        <f>Raw_Data!A408</f>
        <v/>
      </c>
      <c r="B408" s="8">
        <f>Raw_Data!B408</f>
        <v/>
      </c>
      <c r="C408" s="8">
        <f>Raw_Data!C408</f>
        <v/>
      </c>
      <c r="D408" s="7">
        <f>Raw_Data!D408</f>
        <v/>
      </c>
      <c r="E408" s="7">
        <f>Raw_Data!E408</f>
        <v/>
      </c>
      <c r="F408" s="8">
        <f>Raw_Data!F408</f>
        <v/>
      </c>
      <c r="G408" s="8">
        <f>Raw_Data!G408</f>
        <v/>
      </c>
      <c r="H408" s="7">
        <f>Raw_Data!H408</f>
        <v/>
      </c>
      <c r="I408" s="7">
        <f>Raw_Data!I408</f>
        <v/>
      </c>
      <c r="J408" s="8">
        <f>Raw_Data!J408</f>
        <v/>
      </c>
      <c r="K408" s="8">
        <f>Raw_Data!K408</f>
        <v/>
      </c>
      <c r="L408" s="8">
        <f>Raw_Data!L408</f>
        <v/>
      </c>
      <c r="M408" s="7">
        <f>Raw_Data!M408</f>
        <v/>
      </c>
      <c r="N408" s="7">
        <f>Raw_Data!N408</f>
        <v/>
      </c>
      <c r="O408" s="7">
        <f>Raw_Data!O408</f>
        <v/>
      </c>
      <c r="P408" s="8">
        <f>Raw_Data!P408</f>
        <v/>
      </c>
      <c r="R408" s="9">
        <f>IFERROR(Cleaned_Data!M408/Cleaned_Data!K408,0)</f>
        <v/>
      </c>
    </row>
    <row r="409">
      <c r="A409" s="10">
        <f>Raw_Data!A409</f>
        <v/>
      </c>
      <c r="B409" s="11">
        <f>Raw_Data!B409</f>
        <v/>
      </c>
      <c r="C409" s="11">
        <f>Raw_Data!C409</f>
        <v/>
      </c>
      <c r="D409" s="10">
        <f>Raw_Data!D409</f>
        <v/>
      </c>
      <c r="E409" s="10">
        <f>Raw_Data!E409</f>
        <v/>
      </c>
      <c r="F409" s="11">
        <f>Raw_Data!F409</f>
        <v/>
      </c>
      <c r="G409" s="11">
        <f>Raw_Data!G409</f>
        <v/>
      </c>
      <c r="H409" s="10">
        <f>Raw_Data!H409</f>
        <v/>
      </c>
      <c r="I409" s="10">
        <f>Raw_Data!I409</f>
        <v/>
      </c>
      <c r="J409" s="11">
        <f>Raw_Data!J409</f>
        <v/>
      </c>
      <c r="K409" s="11">
        <f>Raw_Data!K409</f>
        <v/>
      </c>
      <c r="L409" s="11">
        <f>Raw_Data!L409</f>
        <v/>
      </c>
      <c r="M409" s="10">
        <f>Raw_Data!M409</f>
        <v/>
      </c>
      <c r="N409" s="10">
        <f>Raw_Data!N409</f>
        <v/>
      </c>
      <c r="O409" s="10">
        <f>Raw_Data!O409</f>
        <v/>
      </c>
      <c r="P409" s="11">
        <f>Raw_Data!P409</f>
        <v/>
      </c>
      <c r="R409" s="9">
        <f>IFERROR(Cleaned_Data!M409/Cleaned_Data!K409,0)</f>
        <v/>
      </c>
    </row>
    <row r="410">
      <c r="A410" s="7">
        <f>Raw_Data!A410</f>
        <v/>
      </c>
      <c r="B410" s="8">
        <f>Raw_Data!B410</f>
        <v/>
      </c>
      <c r="C410" s="8">
        <f>Raw_Data!C410</f>
        <v/>
      </c>
      <c r="D410" s="7">
        <f>Raw_Data!D410</f>
        <v/>
      </c>
      <c r="E410" s="7">
        <f>Raw_Data!E410</f>
        <v/>
      </c>
      <c r="F410" s="8">
        <f>Raw_Data!F410</f>
        <v/>
      </c>
      <c r="G410" s="8">
        <f>Raw_Data!G410</f>
        <v/>
      </c>
      <c r="H410" s="7">
        <f>Raw_Data!H410</f>
        <v/>
      </c>
      <c r="I410" s="7">
        <f>Raw_Data!I410</f>
        <v/>
      </c>
      <c r="J410" s="8">
        <f>Raw_Data!J410</f>
        <v/>
      </c>
      <c r="K410" s="8">
        <f>Raw_Data!K410</f>
        <v/>
      </c>
      <c r="L410" s="8">
        <f>Raw_Data!L410</f>
        <v/>
      </c>
      <c r="M410" s="7">
        <f>Raw_Data!M410</f>
        <v/>
      </c>
      <c r="N410" s="7">
        <f>Raw_Data!N410</f>
        <v/>
      </c>
      <c r="O410" s="7">
        <f>Raw_Data!O410</f>
        <v/>
      </c>
      <c r="P410" s="8">
        <f>Raw_Data!P410</f>
        <v/>
      </c>
      <c r="R410" s="9">
        <f>IFERROR(Cleaned_Data!M410/Cleaned_Data!K410,0)</f>
        <v/>
      </c>
    </row>
    <row r="411">
      <c r="A411" s="10">
        <f>Raw_Data!A411</f>
        <v/>
      </c>
      <c r="B411" s="11">
        <f>Raw_Data!B411</f>
        <v/>
      </c>
      <c r="C411" s="11">
        <f>Raw_Data!C411</f>
        <v/>
      </c>
      <c r="D411" s="10">
        <f>Raw_Data!D411</f>
        <v/>
      </c>
      <c r="E411" s="10">
        <f>Raw_Data!E411</f>
        <v/>
      </c>
      <c r="F411" s="11">
        <f>Raw_Data!F411</f>
        <v/>
      </c>
      <c r="G411" s="11">
        <f>Raw_Data!G411</f>
        <v/>
      </c>
      <c r="H411" s="10">
        <f>Raw_Data!H411</f>
        <v/>
      </c>
      <c r="I411" s="10">
        <f>Raw_Data!I411</f>
        <v/>
      </c>
      <c r="J411" s="11">
        <f>Raw_Data!J411</f>
        <v/>
      </c>
      <c r="K411" s="11">
        <f>Raw_Data!K411</f>
        <v/>
      </c>
      <c r="L411" s="11">
        <f>Raw_Data!L411</f>
        <v/>
      </c>
      <c r="M411" s="10">
        <f>Raw_Data!M411</f>
        <v/>
      </c>
      <c r="N411" s="10">
        <f>Raw_Data!N411</f>
        <v/>
      </c>
      <c r="O411" s="10">
        <f>Raw_Data!O411</f>
        <v/>
      </c>
      <c r="P411" s="11">
        <f>Raw_Data!P411</f>
        <v/>
      </c>
      <c r="R411" s="9">
        <f>IFERROR(Cleaned_Data!M411/Cleaned_Data!K411,0)</f>
        <v/>
      </c>
    </row>
    <row r="412">
      <c r="A412" s="7">
        <f>Raw_Data!A412</f>
        <v/>
      </c>
      <c r="B412" s="8">
        <f>Raw_Data!B412</f>
        <v/>
      </c>
      <c r="C412" s="8">
        <f>Raw_Data!C412</f>
        <v/>
      </c>
      <c r="D412" s="7">
        <f>Raw_Data!D412</f>
        <v/>
      </c>
      <c r="E412" s="7">
        <f>Raw_Data!E412</f>
        <v/>
      </c>
      <c r="F412" s="8">
        <f>Raw_Data!F412</f>
        <v/>
      </c>
      <c r="G412" s="8">
        <f>Raw_Data!G412</f>
        <v/>
      </c>
      <c r="H412" s="7">
        <f>Raw_Data!H412</f>
        <v/>
      </c>
      <c r="I412" s="7">
        <f>Raw_Data!I412</f>
        <v/>
      </c>
      <c r="J412" s="8">
        <f>Raw_Data!J412</f>
        <v/>
      </c>
      <c r="K412" s="8">
        <f>Raw_Data!K412</f>
        <v/>
      </c>
      <c r="L412" s="8">
        <f>Raw_Data!L412</f>
        <v/>
      </c>
      <c r="M412" s="7">
        <f>Raw_Data!M412</f>
        <v/>
      </c>
      <c r="N412" s="7">
        <f>Raw_Data!N412</f>
        <v/>
      </c>
      <c r="O412" s="7">
        <f>Raw_Data!O412</f>
        <v/>
      </c>
      <c r="P412" s="8">
        <f>Raw_Data!P412</f>
        <v/>
      </c>
      <c r="R412" s="9">
        <f>IFERROR(Cleaned_Data!M412/Cleaned_Data!K412,0)</f>
        <v/>
      </c>
    </row>
    <row r="413">
      <c r="A413" s="10">
        <f>Raw_Data!A413</f>
        <v/>
      </c>
      <c r="B413" s="11">
        <f>Raw_Data!B413</f>
        <v/>
      </c>
      <c r="C413" s="11">
        <f>Raw_Data!C413</f>
        <v/>
      </c>
      <c r="D413" s="10">
        <f>Raw_Data!D413</f>
        <v/>
      </c>
      <c r="E413" s="10">
        <f>Raw_Data!E413</f>
        <v/>
      </c>
      <c r="F413" s="11">
        <f>Raw_Data!F413</f>
        <v/>
      </c>
      <c r="G413" s="11">
        <f>Raw_Data!G413</f>
        <v/>
      </c>
      <c r="H413" s="10">
        <f>Raw_Data!H413</f>
        <v/>
      </c>
      <c r="I413" s="10">
        <f>Raw_Data!I413</f>
        <v/>
      </c>
      <c r="J413" s="11">
        <f>Raw_Data!J413</f>
        <v/>
      </c>
      <c r="K413" s="11">
        <f>Raw_Data!K413</f>
        <v/>
      </c>
      <c r="L413" s="11">
        <f>Raw_Data!L413</f>
        <v/>
      </c>
      <c r="M413" s="10">
        <f>Raw_Data!M413</f>
        <v/>
      </c>
      <c r="N413" s="10">
        <f>Raw_Data!N413</f>
        <v/>
      </c>
      <c r="O413" s="10">
        <f>Raw_Data!O413</f>
        <v/>
      </c>
      <c r="P413" s="11">
        <f>Raw_Data!P413</f>
        <v/>
      </c>
      <c r="R413" s="9">
        <f>IFERROR(Cleaned_Data!M413/Cleaned_Data!K413,0)</f>
        <v/>
      </c>
    </row>
    <row r="414">
      <c r="A414" s="7">
        <f>Raw_Data!A414</f>
        <v/>
      </c>
      <c r="B414" s="8">
        <f>Raw_Data!B414</f>
        <v/>
      </c>
      <c r="C414" s="8">
        <f>Raw_Data!C414</f>
        <v/>
      </c>
      <c r="D414" s="7">
        <f>Raw_Data!D414</f>
        <v/>
      </c>
      <c r="E414" s="7">
        <f>Raw_Data!E414</f>
        <v/>
      </c>
      <c r="F414" s="8">
        <f>Raw_Data!F414</f>
        <v/>
      </c>
      <c r="G414" s="8">
        <f>Raw_Data!G414</f>
        <v/>
      </c>
      <c r="H414" s="7">
        <f>Raw_Data!H414</f>
        <v/>
      </c>
      <c r="I414" s="7">
        <f>Raw_Data!I414</f>
        <v/>
      </c>
      <c r="J414" s="8">
        <f>Raw_Data!J414</f>
        <v/>
      </c>
      <c r="K414" s="8">
        <f>Raw_Data!K414</f>
        <v/>
      </c>
      <c r="L414" s="8">
        <f>Raw_Data!L414</f>
        <v/>
      </c>
      <c r="M414" s="7">
        <f>Raw_Data!M414</f>
        <v/>
      </c>
      <c r="N414" s="7">
        <f>Raw_Data!N414</f>
        <v/>
      </c>
      <c r="O414" s="7">
        <f>Raw_Data!O414</f>
        <v/>
      </c>
      <c r="P414" s="8">
        <f>Raw_Data!P414</f>
        <v/>
      </c>
      <c r="R414" s="9">
        <f>IFERROR(Cleaned_Data!M414/Cleaned_Data!K414,0)</f>
        <v/>
      </c>
    </row>
    <row r="415">
      <c r="A415" s="10">
        <f>Raw_Data!A415</f>
        <v/>
      </c>
      <c r="B415" s="11">
        <f>Raw_Data!B415</f>
        <v/>
      </c>
      <c r="C415" s="11">
        <f>Raw_Data!C415</f>
        <v/>
      </c>
      <c r="D415" s="10">
        <f>Raw_Data!D415</f>
        <v/>
      </c>
      <c r="E415" s="10">
        <f>Raw_Data!E415</f>
        <v/>
      </c>
      <c r="F415" s="11">
        <f>Raw_Data!F415</f>
        <v/>
      </c>
      <c r="G415" s="11">
        <f>Raw_Data!G415</f>
        <v/>
      </c>
      <c r="H415" s="10">
        <f>Raw_Data!H415</f>
        <v/>
      </c>
      <c r="I415" s="10">
        <f>Raw_Data!I415</f>
        <v/>
      </c>
      <c r="J415" s="11">
        <f>Raw_Data!J415</f>
        <v/>
      </c>
      <c r="K415" s="11">
        <f>Raw_Data!K415</f>
        <v/>
      </c>
      <c r="L415" s="11">
        <f>Raw_Data!L415</f>
        <v/>
      </c>
      <c r="M415" s="10">
        <f>Raw_Data!M415</f>
        <v/>
      </c>
      <c r="N415" s="10">
        <f>Raw_Data!N415</f>
        <v/>
      </c>
      <c r="O415" s="10">
        <f>Raw_Data!O415</f>
        <v/>
      </c>
      <c r="P415" s="11">
        <f>Raw_Data!P415</f>
        <v/>
      </c>
      <c r="R415" s="9">
        <f>IFERROR(Cleaned_Data!M415/Cleaned_Data!K415,0)</f>
        <v/>
      </c>
    </row>
    <row r="416">
      <c r="A416" s="7">
        <f>Raw_Data!A416</f>
        <v/>
      </c>
      <c r="B416" s="8">
        <f>Raw_Data!B416</f>
        <v/>
      </c>
      <c r="C416" s="8">
        <f>Raw_Data!C416</f>
        <v/>
      </c>
      <c r="D416" s="7">
        <f>Raw_Data!D416</f>
        <v/>
      </c>
      <c r="E416" s="7">
        <f>Raw_Data!E416</f>
        <v/>
      </c>
      <c r="F416" s="8">
        <f>Raw_Data!F416</f>
        <v/>
      </c>
      <c r="G416" s="8">
        <f>Raw_Data!G416</f>
        <v/>
      </c>
      <c r="H416" s="7">
        <f>Raw_Data!H416</f>
        <v/>
      </c>
      <c r="I416" s="7">
        <f>Raw_Data!I416</f>
        <v/>
      </c>
      <c r="J416" s="8">
        <f>Raw_Data!J416</f>
        <v/>
      </c>
      <c r="K416" s="8">
        <f>Raw_Data!K416</f>
        <v/>
      </c>
      <c r="L416" s="8">
        <f>Raw_Data!L416</f>
        <v/>
      </c>
      <c r="M416" s="7">
        <f>Raw_Data!M416</f>
        <v/>
      </c>
      <c r="N416" s="7">
        <f>Raw_Data!N416</f>
        <v/>
      </c>
      <c r="O416" s="7">
        <f>Raw_Data!O416</f>
        <v/>
      </c>
      <c r="P416" s="8">
        <f>Raw_Data!P416</f>
        <v/>
      </c>
      <c r="R416" s="9">
        <f>IFERROR(Cleaned_Data!M416/Cleaned_Data!K416,0)</f>
        <v/>
      </c>
    </row>
    <row r="417">
      <c r="A417" s="10">
        <f>Raw_Data!A417</f>
        <v/>
      </c>
      <c r="B417" s="11">
        <f>Raw_Data!B417</f>
        <v/>
      </c>
      <c r="C417" s="11">
        <f>Raw_Data!C417</f>
        <v/>
      </c>
      <c r="D417" s="10">
        <f>Raw_Data!D417</f>
        <v/>
      </c>
      <c r="E417" s="10">
        <f>Raw_Data!E417</f>
        <v/>
      </c>
      <c r="F417" s="11">
        <f>Raw_Data!F417</f>
        <v/>
      </c>
      <c r="G417" s="11">
        <f>Raw_Data!G417</f>
        <v/>
      </c>
      <c r="H417" s="10">
        <f>Raw_Data!H417</f>
        <v/>
      </c>
      <c r="I417" s="10">
        <f>Raw_Data!I417</f>
        <v/>
      </c>
      <c r="J417" s="11">
        <f>Raw_Data!J417</f>
        <v/>
      </c>
      <c r="K417" s="11">
        <f>Raw_Data!K417</f>
        <v/>
      </c>
      <c r="L417" s="11">
        <f>Raw_Data!L417</f>
        <v/>
      </c>
      <c r="M417" s="10">
        <f>Raw_Data!M417</f>
        <v/>
      </c>
      <c r="N417" s="10">
        <f>Raw_Data!N417</f>
        <v/>
      </c>
      <c r="O417" s="10">
        <f>Raw_Data!O417</f>
        <v/>
      </c>
      <c r="P417" s="11">
        <f>Raw_Data!P417</f>
        <v/>
      </c>
      <c r="R417" s="9">
        <f>IFERROR(Cleaned_Data!M417/Cleaned_Data!K417,0)</f>
        <v/>
      </c>
    </row>
    <row r="418">
      <c r="A418" s="7">
        <f>Raw_Data!A418</f>
        <v/>
      </c>
      <c r="B418" s="8">
        <f>Raw_Data!B418</f>
        <v/>
      </c>
      <c r="C418" s="8">
        <f>Raw_Data!C418</f>
        <v/>
      </c>
      <c r="D418" s="7">
        <f>Raw_Data!D418</f>
        <v/>
      </c>
      <c r="E418" s="7">
        <f>Raw_Data!E418</f>
        <v/>
      </c>
      <c r="F418" s="8">
        <f>Raw_Data!F418</f>
        <v/>
      </c>
      <c r="G418" s="8">
        <f>Raw_Data!G418</f>
        <v/>
      </c>
      <c r="H418" s="7">
        <f>Raw_Data!H418</f>
        <v/>
      </c>
      <c r="I418" s="7">
        <f>Raw_Data!I418</f>
        <v/>
      </c>
      <c r="J418" s="8">
        <f>Raw_Data!J418</f>
        <v/>
      </c>
      <c r="K418" s="8">
        <f>Raw_Data!K418</f>
        <v/>
      </c>
      <c r="L418" s="8">
        <f>Raw_Data!L418</f>
        <v/>
      </c>
      <c r="M418" s="7">
        <f>Raw_Data!M418</f>
        <v/>
      </c>
      <c r="N418" s="7">
        <f>Raw_Data!N418</f>
        <v/>
      </c>
      <c r="O418" s="7">
        <f>Raw_Data!O418</f>
        <v/>
      </c>
      <c r="P418" s="8">
        <f>Raw_Data!P418</f>
        <v/>
      </c>
      <c r="R418" s="9">
        <f>IFERROR(Cleaned_Data!M418/Cleaned_Data!K418,0)</f>
        <v/>
      </c>
    </row>
    <row r="419">
      <c r="A419" s="10">
        <f>Raw_Data!A419</f>
        <v/>
      </c>
      <c r="B419" s="11">
        <f>Raw_Data!B419</f>
        <v/>
      </c>
      <c r="C419" s="11">
        <f>Raw_Data!C419</f>
        <v/>
      </c>
      <c r="D419" s="10">
        <f>Raw_Data!D419</f>
        <v/>
      </c>
      <c r="E419" s="10">
        <f>Raw_Data!E419</f>
        <v/>
      </c>
      <c r="F419" s="11">
        <f>Raw_Data!F419</f>
        <v/>
      </c>
      <c r="G419" s="11">
        <f>Raw_Data!G419</f>
        <v/>
      </c>
      <c r="H419" s="10">
        <f>Raw_Data!H419</f>
        <v/>
      </c>
      <c r="I419" s="10">
        <f>Raw_Data!I419</f>
        <v/>
      </c>
      <c r="J419" s="11">
        <f>Raw_Data!J419</f>
        <v/>
      </c>
      <c r="K419" s="11">
        <f>Raw_Data!K419</f>
        <v/>
      </c>
      <c r="L419" s="11">
        <f>Raw_Data!L419</f>
        <v/>
      </c>
      <c r="M419" s="10">
        <f>Raw_Data!M419</f>
        <v/>
      </c>
      <c r="N419" s="10">
        <f>Raw_Data!N419</f>
        <v/>
      </c>
      <c r="O419" s="10">
        <f>Raw_Data!O419</f>
        <v/>
      </c>
      <c r="P419" s="11">
        <f>Raw_Data!P419</f>
        <v/>
      </c>
      <c r="R419" s="9">
        <f>IFERROR(Cleaned_Data!M419/Cleaned_Data!K419,0)</f>
        <v/>
      </c>
    </row>
    <row r="420">
      <c r="A420" s="7">
        <f>Raw_Data!A420</f>
        <v/>
      </c>
      <c r="B420" s="8">
        <f>Raw_Data!B420</f>
        <v/>
      </c>
      <c r="C420" s="8">
        <f>Raw_Data!C420</f>
        <v/>
      </c>
      <c r="D420" s="7">
        <f>Raw_Data!D420</f>
        <v/>
      </c>
      <c r="E420" s="7">
        <f>Raw_Data!E420</f>
        <v/>
      </c>
      <c r="F420" s="8">
        <f>Raw_Data!F420</f>
        <v/>
      </c>
      <c r="G420" s="8">
        <f>Raw_Data!G420</f>
        <v/>
      </c>
      <c r="H420" s="7">
        <f>Raw_Data!H420</f>
        <v/>
      </c>
      <c r="I420" s="7">
        <f>Raw_Data!I420</f>
        <v/>
      </c>
      <c r="J420" s="8">
        <f>Raw_Data!J420</f>
        <v/>
      </c>
      <c r="K420" s="8">
        <f>Raw_Data!K420</f>
        <v/>
      </c>
      <c r="L420" s="8">
        <f>Raw_Data!L420</f>
        <v/>
      </c>
      <c r="M420" s="7">
        <f>Raw_Data!M420</f>
        <v/>
      </c>
      <c r="N420" s="7">
        <f>Raw_Data!N420</f>
        <v/>
      </c>
      <c r="O420" s="7">
        <f>Raw_Data!O420</f>
        <v/>
      </c>
      <c r="P420" s="8">
        <f>Raw_Data!P420</f>
        <v/>
      </c>
      <c r="R420" s="9">
        <f>IFERROR(Cleaned_Data!M420/Cleaned_Data!K420,0)</f>
        <v/>
      </c>
    </row>
    <row r="421">
      <c r="A421" s="10">
        <f>Raw_Data!A421</f>
        <v/>
      </c>
      <c r="B421" s="11">
        <f>Raw_Data!B421</f>
        <v/>
      </c>
      <c r="C421" s="11">
        <f>Raw_Data!C421</f>
        <v/>
      </c>
      <c r="D421" s="10">
        <f>Raw_Data!D421</f>
        <v/>
      </c>
      <c r="E421" s="10">
        <f>Raw_Data!E421</f>
        <v/>
      </c>
      <c r="F421" s="11">
        <f>Raw_Data!F421</f>
        <v/>
      </c>
      <c r="G421" s="11">
        <f>Raw_Data!G421</f>
        <v/>
      </c>
      <c r="H421" s="10">
        <f>Raw_Data!H421</f>
        <v/>
      </c>
      <c r="I421" s="10">
        <f>Raw_Data!I421</f>
        <v/>
      </c>
      <c r="J421" s="11">
        <f>Raw_Data!J421</f>
        <v/>
      </c>
      <c r="K421" s="11">
        <f>Raw_Data!K421</f>
        <v/>
      </c>
      <c r="L421" s="11">
        <f>Raw_Data!L421</f>
        <v/>
      </c>
      <c r="M421" s="10">
        <f>Raw_Data!M421</f>
        <v/>
      </c>
      <c r="N421" s="10">
        <f>Raw_Data!N421</f>
        <v/>
      </c>
      <c r="O421" s="10">
        <f>Raw_Data!O421</f>
        <v/>
      </c>
      <c r="P421" s="11">
        <f>Raw_Data!P421</f>
        <v/>
      </c>
      <c r="R421" s="9">
        <f>IFERROR(Cleaned_Data!M421/Cleaned_Data!K421,0)</f>
        <v/>
      </c>
    </row>
    <row r="422">
      <c r="A422" s="7">
        <f>Raw_Data!A422</f>
        <v/>
      </c>
      <c r="B422" s="8">
        <f>Raw_Data!B422</f>
        <v/>
      </c>
      <c r="C422" s="8">
        <f>Raw_Data!C422</f>
        <v/>
      </c>
      <c r="D422" s="7">
        <f>Raw_Data!D422</f>
        <v/>
      </c>
      <c r="E422" s="7">
        <f>Raw_Data!E422</f>
        <v/>
      </c>
      <c r="F422" s="8">
        <f>Raw_Data!F422</f>
        <v/>
      </c>
      <c r="G422" s="8">
        <f>Raw_Data!G422</f>
        <v/>
      </c>
      <c r="H422" s="7">
        <f>Raw_Data!H422</f>
        <v/>
      </c>
      <c r="I422" s="7">
        <f>Raw_Data!I422</f>
        <v/>
      </c>
      <c r="J422" s="8">
        <f>Raw_Data!J422</f>
        <v/>
      </c>
      <c r="K422" s="8">
        <f>Raw_Data!K422</f>
        <v/>
      </c>
      <c r="L422" s="8">
        <f>Raw_Data!L422</f>
        <v/>
      </c>
      <c r="M422" s="7">
        <f>Raw_Data!M422</f>
        <v/>
      </c>
      <c r="N422" s="7">
        <f>Raw_Data!N422</f>
        <v/>
      </c>
      <c r="O422" s="7">
        <f>Raw_Data!O422</f>
        <v/>
      </c>
      <c r="P422" s="8">
        <f>Raw_Data!P422</f>
        <v/>
      </c>
      <c r="R422" s="9">
        <f>IFERROR(Cleaned_Data!M422/Cleaned_Data!K422,0)</f>
        <v/>
      </c>
    </row>
    <row r="423">
      <c r="A423" s="10">
        <f>Raw_Data!A423</f>
        <v/>
      </c>
      <c r="B423" s="11">
        <f>Raw_Data!B423</f>
        <v/>
      </c>
      <c r="C423" s="11">
        <f>Raw_Data!C423</f>
        <v/>
      </c>
      <c r="D423" s="10">
        <f>Raw_Data!D423</f>
        <v/>
      </c>
      <c r="E423" s="10">
        <f>Raw_Data!E423</f>
        <v/>
      </c>
      <c r="F423" s="11">
        <f>Raw_Data!F423</f>
        <v/>
      </c>
      <c r="G423" s="11">
        <f>Raw_Data!G423</f>
        <v/>
      </c>
      <c r="H423" s="10">
        <f>Raw_Data!H423</f>
        <v/>
      </c>
      <c r="I423" s="10">
        <f>Raw_Data!I423</f>
        <v/>
      </c>
      <c r="J423" s="11">
        <f>Raw_Data!J423</f>
        <v/>
      </c>
      <c r="K423" s="11">
        <f>Raw_Data!K423</f>
        <v/>
      </c>
      <c r="L423" s="11">
        <f>Raw_Data!L423</f>
        <v/>
      </c>
      <c r="M423" s="10">
        <f>Raw_Data!M423</f>
        <v/>
      </c>
      <c r="N423" s="10">
        <f>Raw_Data!N423</f>
        <v/>
      </c>
      <c r="O423" s="10">
        <f>Raw_Data!O423</f>
        <v/>
      </c>
      <c r="P423" s="11">
        <f>Raw_Data!P423</f>
        <v/>
      </c>
      <c r="R423" s="9">
        <f>IFERROR(Cleaned_Data!M423/Cleaned_Data!K423,0)</f>
        <v/>
      </c>
    </row>
    <row r="424">
      <c r="A424" s="7">
        <f>Raw_Data!A424</f>
        <v/>
      </c>
      <c r="B424" s="8">
        <f>Raw_Data!B424</f>
        <v/>
      </c>
      <c r="C424" s="8">
        <f>Raw_Data!C424</f>
        <v/>
      </c>
      <c r="D424" s="7">
        <f>Raw_Data!D424</f>
        <v/>
      </c>
      <c r="E424" s="7">
        <f>Raw_Data!E424</f>
        <v/>
      </c>
      <c r="F424" s="8">
        <f>Raw_Data!F424</f>
        <v/>
      </c>
      <c r="G424" s="8">
        <f>Raw_Data!G424</f>
        <v/>
      </c>
      <c r="H424" s="7">
        <f>Raw_Data!H424</f>
        <v/>
      </c>
      <c r="I424" s="7">
        <f>Raw_Data!I424</f>
        <v/>
      </c>
      <c r="J424" s="8">
        <f>Raw_Data!J424</f>
        <v/>
      </c>
      <c r="K424" s="8">
        <f>Raw_Data!K424</f>
        <v/>
      </c>
      <c r="L424" s="8">
        <f>Raw_Data!L424</f>
        <v/>
      </c>
      <c r="M424" s="7">
        <f>Raw_Data!M424</f>
        <v/>
      </c>
      <c r="N424" s="7">
        <f>Raw_Data!N424</f>
        <v/>
      </c>
      <c r="O424" s="7">
        <f>Raw_Data!O424</f>
        <v/>
      </c>
      <c r="P424" s="8">
        <f>Raw_Data!P424</f>
        <v/>
      </c>
      <c r="R424" s="9">
        <f>IFERROR(Cleaned_Data!M424/Cleaned_Data!K424,0)</f>
        <v/>
      </c>
    </row>
    <row r="425">
      <c r="A425" s="10">
        <f>Raw_Data!A425</f>
        <v/>
      </c>
      <c r="B425" s="11">
        <f>Raw_Data!B425</f>
        <v/>
      </c>
      <c r="C425" s="11">
        <f>Raw_Data!C425</f>
        <v/>
      </c>
      <c r="D425" s="10">
        <f>Raw_Data!D425</f>
        <v/>
      </c>
      <c r="E425" s="10">
        <f>Raw_Data!E425</f>
        <v/>
      </c>
      <c r="F425" s="11">
        <f>Raw_Data!F425</f>
        <v/>
      </c>
      <c r="G425" s="11">
        <f>Raw_Data!G425</f>
        <v/>
      </c>
      <c r="H425" s="10">
        <f>Raw_Data!H425</f>
        <v/>
      </c>
      <c r="I425" s="10">
        <f>Raw_Data!I425</f>
        <v/>
      </c>
      <c r="J425" s="11">
        <f>Raw_Data!J425</f>
        <v/>
      </c>
      <c r="K425" s="11">
        <f>Raw_Data!K425</f>
        <v/>
      </c>
      <c r="L425" s="11">
        <f>Raw_Data!L425</f>
        <v/>
      </c>
      <c r="M425" s="10">
        <f>Raw_Data!M425</f>
        <v/>
      </c>
      <c r="N425" s="10">
        <f>Raw_Data!N425</f>
        <v/>
      </c>
      <c r="O425" s="10">
        <f>Raw_Data!O425</f>
        <v/>
      </c>
      <c r="P425" s="11">
        <f>Raw_Data!P425</f>
        <v/>
      </c>
      <c r="R425" s="9">
        <f>IFERROR(Cleaned_Data!M425/Cleaned_Data!K425,0)</f>
        <v/>
      </c>
    </row>
    <row r="426">
      <c r="A426" s="7">
        <f>Raw_Data!A426</f>
        <v/>
      </c>
      <c r="B426" s="8">
        <f>Raw_Data!B426</f>
        <v/>
      </c>
      <c r="C426" s="8">
        <f>Raw_Data!C426</f>
        <v/>
      </c>
      <c r="D426" s="7">
        <f>Raw_Data!D426</f>
        <v/>
      </c>
      <c r="E426" s="7">
        <f>Raw_Data!E426</f>
        <v/>
      </c>
      <c r="F426" s="8">
        <f>Raw_Data!F426</f>
        <v/>
      </c>
      <c r="G426" s="8">
        <f>Raw_Data!G426</f>
        <v/>
      </c>
      <c r="H426" s="7">
        <f>Raw_Data!H426</f>
        <v/>
      </c>
      <c r="I426" s="7">
        <f>Raw_Data!I426</f>
        <v/>
      </c>
      <c r="J426" s="8">
        <f>Raw_Data!J426</f>
        <v/>
      </c>
      <c r="K426" s="8">
        <f>Raw_Data!K426</f>
        <v/>
      </c>
      <c r="L426" s="8">
        <f>Raw_Data!L426</f>
        <v/>
      </c>
      <c r="M426" s="7">
        <f>Raw_Data!M426</f>
        <v/>
      </c>
      <c r="N426" s="7">
        <f>Raw_Data!N426</f>
        <v/>
      </c>
      <c r="O426" s="7">
        <f>Raw_Data!O426</f>
        <v/>
      </c>
      <c r="P426" s="8">
        <f>Raw_Data!P426</f>
        <v/>
      </c>
      <c r="R426" s="9">
        <f>IFERROR(Cleaned_Data!M426/Cleaned_Data!K426,0)</f>
        <v/>
      </c>
    </row>
    <row r="427">
      <c r="A427" s="10">
        <f>Raw_Data!A427</f>
        <v/>
      </c>
      <c r="B427" s="11">
        <f>Raw_Data!B427</f>
        <v/>
      </c>
      <c r="C427" s="11">
        <f>Raw_Data!C427</f>
        <v/>
      </c>
      <c r="D427" s="10">
        <f>Raw_Data!D427</f>
        <v/>
      </c>
      <c r="E427" s="10">
        <f>Raw_Data!E427</f>
        <v/>
      </c>
      <c r="F427" s="11">
        <f>Raw_Data!F427</f>
        <v/>
      </c>
      <c r="G427" s="11">
        <f>Raw_Data!G427</f>
        <v/>
      </c>
      <c r="H427" s="10">
        <f>Raw_Data!H427</f>
        <v/>
      </c>
      <c r="I427" s="10">
        <f>Raw_Data!I427</f>
        <v/>
      </c>
      <c r="J427" s="11">
        <f>Raw_Data!J427</f>
        <v/>
      </c>
      <c r="K427" s="11">
        <f>Raw_Data!K427</f>
        <v/>
      </c>
      <c r="L427" s="11">
        <f>Raw_Data!L427</f>
        <v/>
      </c>
      <c r="M427" s="10">
        <f>Raw_Data!M427</f>
        <v/>
      </c>
      <c r="N427" s="10">
        <f>Raw_Data!N427</f>
        <v/>
      </c>
      <c r="O427" s="10">
        <f>Raw_Data!O427</f>
        <v/>
      </c>
      <c r="P427" s="11">
        <f>Raw_Data!P427</f>
        <v/>
      </c>
      <c r="R427" s="9">
        <f>IFERROR(Cleaned_Data!M427/Cleaned_Data!K427,0)</f>
        <v/>
      </c>
    </row>
    <row r="428">
      <c r="A428" s="7">
        <f>Raw_Data!A428</f>
        <v/>
      </c>
      <c r="B428" s="8">
        <f>Raw_Data!B428</f>
        <v/>
      </c>
      <c r="C428" s="8">
        <f>Raw_Data!C428</f>
        <v/>
      </c>
      <c r="D428" s="7">
        <f>Raw_Data!D428</f>
        <v/>
      </c>
      <c r="E428" s="7">
        <f>Raw_Data!E428</f>
        <v/>
      </c>
      <c r="F428" s="8">
        <f>Raw_Data!F428</f>
        <v/>
      </c>
      <c r="G428" s="8">
        <f>Raw_Data!G428</f>
        <v/>
      </c>
      <c r="H428" s="7">
        <f>Raw_Data!H428</f>
        <v/>
      </c>
      <c r="I428" s="7">
        <f>Raw_Data!I428</f>
        <v/>
      </c>
      <c r="J428" s="8">
        <f>Raw_Data!J428</f>
        <v/>
      </c>
      <c r="K428" s="8">
        <f>Raw_Data!K428</f>
        <v/>
      </c>
      <c r="L428" s="8">
        <f>Raw_Data!L428</f>
        <v/>
      </c>
      <c r="M428" s="7">
        <f>Raw_Data!M428</f>
        <v/>
      </c>
      <c r="N428" s="7">
        <f>Raw_Data!N428</f>
        <v/>
      </c>
      <c r="O428" s="7">
        <f>Raw_Data!O428</f>
        <v/>
      </c>
      <c r="P428" s="8">
        <f>Raw_Data!P428</f>
        <v/>
      </c>
      <c r="R428" s="9">
        <f>IFERROR(Cleaned_Data!M428/Cleaned_Data!K428,0)</f>
        <v/>
      </c>
    </row>
    <row r="429">
      <c r="A429" s="10">
        <f>Raw_Data!A429</f>
        <v/>
      </c>
      <c r="B429" s="11">
        <f>Raw_Data!B429</f>
        <v/>
      </c>
      <c r="C429" s="11">
        <f>Raw_Data!C429</f>
        <v/>
      </c>
      <c r="D429" s="10">
        <f>Raw_Data!D429</f>
        <v/>
      </c>
      <c r="E429" s="10">
        <f>Raw_Data!E429</f>
        <v/>
      </c>
      <c r="F429" s="11">
        <f>Raw_Data!F429</f>
        <v/>
      </c>
      <c r="G429" s="11">
        <f>Raw_Data!G429</f>
        <v/>
      </c>
      <c r="H429" s="10">
        <f>Raw_Data!H429</f>
        <v/>
      </c>
      <c r="I429" s="10">
        <f>Raw_Data!I429</f>
        <v/>
      </c>
      <c r="J429" s="11">
        <f>Raw_Data!J429</f>
        <v/>
      </c>
      <c r="K429" s="11">
        <f>Raw_Data!K429</f>
        <v/>
      </c>
      <c r="L429" s="11">
        <f>Raw_Data!L429</f>
        <v/>
      </c>
      <c r="M429" s="10">
        <f>Raw_Data!M429</f>
        <v/>
      </c>
      <c r="N429" s="10">
        <f>Raw_Data!N429</f>
        <v/>
      </c>
      <c r="O429" s="10">
        <f>Raw_Data!O429</f>
        <v/>
      </c>
      <c r="P429" s="11">
        <f>Raw_Data!P429</f>
        <v/>
      </c>
      <c r="R429" s="9">
        <f>IFERROR(Cleaned_Data!M429/Cleaned_Data!K429,0)</f>
        <v/>
      </c>
    </row>
    <row r="430">
      <c r="A430" s="7">
        <f>Raw_Data!A430</f>
        <v/>
      </c>
      <c r="B430" s="8">
        <f>Raw_Data!B430</f>
        <v/>
      </c>
      <c r="C430" s="8">
        <f>Raw_Data!C430</f>
        <v/>
      </c>
      <c r="D430" s="7">
        <f>Raw_Data!D430</f>
        <v/>
      </c>
      <c r="E430" s="7">
        <f>Raw_Data!E430</f>
        <v/>
      </c>
      <c r="F430" s="8">
        <f>Raw_Data!F430</f>
        <v/>
      </c>
      <c r="G430" s="8">
        <f>Raw_Data!G430</f>
        <v/>
      </c>
      <c r="H430" s="7">
        <f>Raw_Data!H430</f>
        <v/>
      </c>
      <c r="I430" s="7">
        <f>Raw_Data!I430</f>
        <v/>
      </c>
      <c r="J430" s="8">
        <f>Raw_Data!J430</f>
        <v/>
      </c>
      <c r="K430" s="8">
        <f>Raw_Data!K430</f>
        <v/>
      </c>
      <c r="L430" s="8">
        <f>Raw_Data!L430</f>
        <v/>
      </c>
      <c r="M430" s="7">
        <f>Raw_Data!M430</f>
        <v/>
      </c>
      <c r="N430" s="7">
        <f>Raw_Data!N430</f>
        <v/>
      </c>
      <c r="O430" s="7">
        <f>Raw_Data!O430</f>
        <v/>
      </c>
      <c r="P430" s="8">
        <f>Raw_Data!P430</f>
        <v/>
      </c>
      <c r="R430" s="9">
        <f>IFERROR(Cleaned_Data!M430/Cleaned_Data!K430,0)</f>
        <v/>
      </c>
    </row>
    <row r="431">
      <c r="A431" s="10">
        <f>Raw_Data!A431</f>
        <v/>
      </c>
      <c r="B431" s="11">
        <f>Raw_Data!B431</f>
        <v/>
      </c>
      <c r="C431" s="11">
        <f>Raw_Data!C431</f>
        <v/>
      </c>
      <c r="D431" s="10">
        <f>Raw_Data!D431</f>
        <v/>
      </c>
      <c r="E431" s="10">
        <f>Raw_Data!E431</f>
        <v/>
      </c>
      <c r="F431" s="11">
        <f>Raw_Data!F431</f>
        <v/>
      </c>
      <c r="G431" s="11">
        <f>Raw_Data!G431</f>
        <v/>
      </c>
      <c r="H431" s="10">
        <f>Raw_Data!H431</f>
        <v/>
      </c>
      <c r="I431" s="10">
        <f>Raw_Data!I431</f>
        <v/>
      </c>
      <c r="J431" s="11">
        <f>Raw_Data!J431</f>
        <v/>
      </c>
      <c r="K431" s="11">
        <f>Raw_Data!K431</f>
        <v/>
      </c>
      <c r="L431" s="11">
        <f>Raw_Data!L431</f>
        <v/>
      </c>
      <c r="M431" s="10">
        <f>Raw_Data!M431</f>
        <v/>
      </c>
      <c r="N431" s="10">
        <f>Raw_Data!N431</f>
        <v/>
      </c>
      <c r="O431" s="10">
        <f>Raw_Data!O431</f>
        <v/>
      </c>
      <c r="P431" s="11">
        <f>Raw_Data!P431</f>
        <v/>
      </c>
      <c r="R431" s="9">
        <f>IFERROR(Cleaned_Data!M431/Cleaned_Data!K431,0)</f>
        <v/>
      </c>
    </row>
    <row r="432">
      <c r="A432" s="7">
        <f>Raw_Data!A432</f>
        <v/>
      </c>
      <c r="B432" s="8">
        <f>Raw_Data!B432</f>
        <v/>
      </c>
      <c r="C432" s="8">
        <f>Raw_Data!C432</f>
        <v/>
      </c>
      <c r="D432" s="7">
        <f>Raw_Data!D432</f>
        <v/>
      </c>
      <c r="E432" s="7">
        <f>Raw_Data!E432</f>
        <v/>
      </c>
      <c r="F432" s="8">
        <f>Raw_Data!F432</f>
        <v/>
      </c>
      <c r="G432" s="8">
        <f>Raw_Data!G432</f>
        <v/>
      </c>
      <c r="H432" s="7">
        <f>Raw_Data!H432</f>
        <v/>
      </c>
      <c r="I432" s="7">
        <f>Raw_Data!I432</f>
        <v/>
      </c>
      <c r="J432" s="8">
        <f>Raw_Data!J432</f>
        <v/>
      </c>
      <c r="K432" s="8">
        <f>Raw_Data!K432</f>
        <v/>
      </c>
      <c r="L432" s="8">
        <f>Raw_Data!L432</f>
        <v/>
      </c>
      <c r="M432" s="7">
        <f>Raw_Data!M432</f>
        <v/>
      </c>
      <c r="N432" s="7">
        <f>Raw_Data!N432</f>
        <v/>
      </c>
      <c r="O432" s="7">
        <f>Raw_Data!O432</f>
        <v/>
      </c>
      <c r="P432" s="8">
        <f>Raw_Data!P432</f>
        <v/>
      </c>
      <c r="R432" s="9">
        <f>IFERROR(Cleaned_Data!M432/Cleaned_Data!K432,0)</f>
        <v/>
      </c>
    </row>
    <row r="433">
      <c r="A433" s="10">
        <f>Raw_Data!A433</f>
        <v/>
      </c>
      <c r="B433" s="11">
        <f>Raw_Data!B433</f>
        <v/>
      </c>
      <c r="C433" s="11">
        <f>Raw_Data!C433</f>
        <v/>
      </c>
      <c r="D433" s="10">
        <f>Raw_Data!D433</f>
        <v/>
      </c>
      <c r="E433" s="10">
        <f>Raw_Data!E433</f>
        <v/>
      </c>
      <c r="F433" s="11">
        <f>Raw_Data!F433</f>
        <v/>
      </c>
      <c r="G433" s="11">
        <f>Raw_Data!G433</f>
        <v/>
      </c>
      <c r="H433" s="10">
        <f>Raw_Data!H433</f>
        <v/>
      </c>
      <c r="I433" s="10">
        <f>Raw_Data!I433</f>
        <v/>
      </c>
      <c r="J433" s="11">
        <f>Raw_Data!J433</f>
        <v/>
      </c>
      <c r="K433" s="11">
        <f>Raw_Data!K433</f>
        <v/>
      </c>
      <c r="L433" s="11">
        <f>Raw_Data!L433</f>
        <v/>
      </c>
      <c r="M433" s="10">
        <f>Raw_Data!M433</f>
        <v/>
      </c>
      <c r="N433" s="10">
        <f>Raw_Data!N433</f>
        <v/>
      </c>
      <c r="O433" s="10">
        <f>Raw_Data!O433</f>
        <v/>
      </c>
      <c r="P433" s="11">
        <f>Raw_Data!P433</f>
        <v/>
      </c>
      <c r="R433" s="9">
        <f>IFERROR(Cleaned_Data!M433/Cleaned_Data!K433,0)</f>
        <v/>
      </c>
    </row>
    <row r="434">
      <c r="A434" s="7">
        <f>Raw_Data!A434</f>
        <v/>
      </c>
      <c r="B434" s="8">
        <f>Raw_Data!B434</f>
        <v/>
      </c>
      <c r="C434" s="8">
        <f>Raw_Data!C434</f>
        <v/>
      </c>
      <c r="D434" s="7">
        <f>Raw_Data!D434</f>
        <v/>
      </c>
      <c r="E434" s="7">
        <f>Raw_Data!E434</f>
        <v/>
      </c>
      <c r="F434" s="8">
        <f>Raw_Data!F434</f>
        <v/>
      </c>
      <c r="G434" s="8">
        <f>Raw_Data!G434</f>
        <v/>
      </c>
      <c r="H434" s="7">
        <f>Raw_Data!H434</f>
        <v/>
      </c>
      <c r="I434" s="7">
        <f>Raw_Data!I434</f>
        <v/>
      </c>
      <c r="J434" s="8">
        <f>Raw_Data!J434</f>
        <v/>
      </c>
      <c r="K434" s="8">
        <f>Raw_Data!K434</f>
        <v/>
      </c>
      <c r="L434" s="8">
        <f>Raw_Data!L434</f>
        <v/>
      </c>
      <c r="M434" s="7">
        <f>Raw_Data!M434</f>
        <v/>
      </c>
      <c r="N434" s="7">
        <f>Raw_Data!N434</f>
        <v/>
      </c>
      <c r="O434" s="7">
        <f>Raw_Data!O434</f>
        <v/>
      </c>
      <c r="P434" s="8">
        <f>Raw_Data!P434</f>
        <v/>
      </c>
      <c r="R434" s="9">
        <f>IFERROR(Cleaned_Data!M434/Cleaned_Data!K434,0)</f>
        <v/>
      </c>
    </row>
    <row r="435">
      <c r="A435" s="10">
        <f>Raw_Data!A435</f>
        <v/>
      </c>
      <c r="B435" s="11">
        <f>Raw_Data!B435</f>
        <v/>
      </c>
      <c r="C435" s="11">
        <f>Raw_Data!C435</f>
        <v/>
      </c>
      <c r="D435" s="10">
        <f>Raw_Data!D435</f>
        <v/>
      </c>
      <c r="E435" s="10">
        <f>Raw_Data!E435</f>
        <v/>
      </c>
      <c r="F435" s="11">
        <f>Raw_Data!F435</f>
        <v/>
      </c>
      <c r="G435" s="11">
        <f>Raw_Data!G435</f>
        <v/>
      </c>
      <c r="H435" s="10">
        <f>Raw_Data!H435</f>
        <v/>
      </c>
      <c r="I435" s="10">
        <f>Raw_Data!I435</f>
        <v/>
      </c>
      <c r="J435" s="11">
        <f>Raw_Data!J435</f>
        <v/>
      </c>
      <c r="K435" s="11">
        <f>Raw_Data!K435</f>
        <v/>
      </c>
      <c r="L435" s="11">
        <f>Raw_Data!L435</f>
        <v/>
      </c>
      <c r="M435" s="10">
        <f>Raw_Data!M435</f>
        <v/>
      </c>
      <c r="N435" s="10">
        <f>Raw_Data!N435</f>
        <v/>
      </c>
      <c r="O435" s="10">
        <f>Raw_Data!O435</f>
        <v/>
      </c>
      <c r="P435" s="11">
        <f>Raw_Data!P435</f>
        <v/>
      </c>
      <c r="R435" s="9">
        <f>IFERROR(Cleaned_Data!M435/Cleaned_Data!K435,0)</f>
        <v/>
      </c>
    </row>
    <row r="436">
      <c r="A436" s="7">
        <f>Raw_Data!A436</f>
        <v/>
      </c>
      <c r="B436" s="8">
        <f>Raw_Data!B436</f>
        <v/>
      </c>
      <c r="C436" s="8">
        <f>Raw_Data!C436</f>
        <v/>
      </c>
      <c r="D436" s="7">
        <f>Raw_Data!D436</f>
        <v/>
      </c>
      <c r="E436" s="7">
        <f>Raw_Data!E436</f>
        <v/>
      </c>
      <c r="F436" s="8">
        <f>Raw_Data!F436</f>
        <v/>
      </c>
      <c r="G436" s="8">
        <f>Raw_Data!G436</f>
        <v/>
      </c>
      <c r="H436" s="7">
        <f>Raw_Data!H436</f>
        <v/>
      </c>
      <c r="I436" s="7">
        <f>Raw_Data!I436</f>
        <v/>
      </c>
      <c r="J436" s="8">
        <f>Raw_Data!J436</f>
        <v/>
      </c>
      <c r="K436" s="8">
        <f>Raw_Data!K436</f>
        <v/>
      </c>
      <c r="L436" s="8">
        <f>Raw_Data!L436</f>
        <v/>
      </c>
      <c r="M436" s="7">
        <f>Raw_Data!M436</f>
        <v/>
      </c>
      <c r="N436" s="7">
        <f>Raw_Data!N436</f>
        <v/>
      </c>
      <c r="O436" s="7">
        <f>Raw_Data!O436</f>
        <v/>
      </c>
      <c r="P436" s="8">
        <f>Raw_Data!P436</f>
        <v/>
      </c>
      <c r="R436" s="9">
        <f>IFERROR(Cleaned_Data!M436/Cleaned_Data!K436,0)</f>
        <v/>
      </c>
    </row>
    <row r="437">
      <c r="A437" s="10">
        <f>Raw_Data!A437</f>
        <v/>
      </c>
      <c r="B437" s="11">
        <f>Raw_Data!B437</f>
        <v/>
      </c>
      <c r="C437" s="11">
        <f>Raw_Data!C437</f>
        <v/>
      </c>
      <c r="D437" s="10">
        <f>Raw_Data!D437</f>
        <v/>
      </c>
      <c r="E437" s="10">
        <f>Raw_Data!E437</f>
        <v/>
      </c>
      <c r="F437" s="11">
        <f>Raw_Data!F437</f>
        <v/>
      </c>
      <c r="G437" s="11">
        <f>Raw_Data!G437</f>
        <v/>
      </c>
      <c r="H437" s="10">
        <f>Raw_Data!H437</f>
        <v/>
      </c>
      <c r="I437" s="10">
        <f>Raw_Data!I437</f>
        <v/>
      </c>
      <c r="J437" s="11">
        <f>Raw_Data!J437</f>
        <v/>
      </c>
      <c r="K437" s="11">
        <f>Raw_Data!K437</f>
        <v/>
      </c>
      <c r="L437" s="11">
        <f>Raw_Data!L437</f>
        <v/>
      </c>
      <c r="M437" s="10">
        <f>Raw_Data!M437</f>
        <v/>
      </c>
      <c r="N437" s="10">
        <f>Raw_Data!N437</f>
        <v/>
      </c>
      <c r="O437" s="10">
        <f>Raw_Data!O437</f>
        <v/>
      </c>
      <c r="P437" s="11">
        <f>Raw_Data!P437</f>
        <v/>
      </c>
      <c r="R437" s="9">
        <f>IFERROR(Cleaned_Data!M437/Cleaned_Data!K437,0)</f>
        <v/>
      </c>
    </row>
    <row r="438">
      <c r="A438" s="7">
        <f>Raw_Data!A438</f>
        <v/>
      </c>
      <c r="B438" s="8">
        <f>Raw_Data!B438</f>
        <v/>
      </c>
      <c r="C438" s="8">
        <f>Raw_Data!C438</f>
        <v/>
      </c>
      <c r="D438" s="7">
        <f>Raw_Data!D438</f>
        <v/>
      </c>
      <c r="E438" s="7">
        <f>Raw_Data!E438</f>
        <v/>
      </c>
      <c r="F438" s="8">
        <f>Raw_Data!F438</f>
        <v/>
      </c>
      <c r="G438" s="8">
        <f>Raw_Data!G438</f>
        <v/>
      </c>
      <c r="H438" s="7">
        <f>Raw_Data!H438</f>
        <v/>
      </c>
      <c r="I438" s="7">
        <f>Raw_Data!I438</f>
        <v/>
      </c>
      <c r="J438" s="8">
        <f>Raw_Data!J438</f>
        <v/>
      </c>
      <c r="K438" s="8">
        <f>Raw_Data!K438</f>
        <v/>
      </c>
      <c r="L438" s="8">
        <f>Raw_Data!L438</f>
        <v/>
      </c>
      <c r="M438" s="7">
        <f>Raw_Data!M438</f>
        <v/>
      </c>
      <c r="N438" s="7">
        <f>Raw_Data!N438</f>
        <v/>
      </c>
      <c r="O438" s="7">
        <f>Raw_Data!O438</f>
        <v/>
      </c>
      <c r="P438" s="8">
        <f>Raw_Data!P438</f>
        <v/>
      </c>
      <c r="R438" s="9">
        <f>IFERROR(Cleaned_Data!M438/Cleaned_Data!K438,0)</f>
        <v/>
      </c>
    </row>
    <row r="439">
      <c r="A439" s="10">
        <f>Raw_Data!A439</f>
        <v/>
      </c>
      <c r="B439" s="11">
        <f>Raw_Data!B439</f>
        <v/>
      </c>
      <c r="C439" s="11">
        <f>Raw_Data!C439</f>
        <v/>
      </c>
      <c r="D439" s="10">
        <f>Raw_Data!D439</f>
        <v/>
      </c>
      <c r="E439" s="10">
        <f>Raw_Data!E439</f>
        <v/>
      </c>
      <c r="F439" s="11">
        <f>Raw_Data!F439</f>
        <v/>
      </c>
      <c r="G439" s="11">
        <f>Raw_Data!G439</f>
        <v/>
      </c>
      <c r="H439" s="10">
        <f>Raw_Data!H439</f>
        <v/>
      </c>
      <c r="I439" s="10">
        <f>Raw_Data!I439</f>
        <v/>
      </c>
      <c r="J439" s="11">
        <f>Raw_Data!J439</f>
        <v/>
      </c>
      <c r="K439" s="11">
        <f>Raw_Data!K439</f>
        <v/>
      </c>
      <c r="L439" s="11">
        <f>Raw_Data!L439</f>
        <v/>
      </c>
      <c r="M439" s="10">
        <f>Raw_Data!M439</f>
        <v/>
      </c>
      <c r="N439" s="10">
        <f>Raw_Data!N439</f>
        <v/>
      </c>
      <c r="O439" s="10">
        <f>Raw_Data!O439</f>
        <v/>
      </c>
      <c r="P439" s="11">
        <f>Raw_Data!P439</f>
        <v/>
      </c>
      <c r="R439" s="9">
        <f>IFERROR(Cleaned_Data!M439/Cleaned_Data!K439,0)</f>
        <v/>
      </c>
    </row>
    <row r="440">
      <c r="A440" s="7">
        <f>Raw_Data!A440</f>
        <v/>
      </c>
      <c r="B440" s="8">
        <f>Raw_Data!B440</f>
        <v/>
      </c>
      <c r="C440" s="8">
        <f>Raw_Data!C440</f>
        <v/>
      </c>
      <c r="D440" s="7">
        <f>Raw_Data!D440</f>
        <v/>
      </c>
      <c r="E440" s="7">
        <f>Raw_Data!E440</f>
        <v/>
      </c>
      <c r="F440" s="8">
        <f>Raw_Data!F440</f>
        <v/>
      </c>
      <c r="G440" s="8">
        <f>Raw_Data!G440</f>
        <v/>
      </c>
      <c r="H440" s="7">
        <f>Raw_Data!H440</f>
        <v/>
      </c>
      <c r="I440" s="7">
        <f>Raw_Data!I440</f>
        <v/>
      </c>
      <c r="J440" s="8">
        <f>Raw_Data!J440</f>
        <v/>
      </c>
      <c r="K440" s="8">
        <f>Raw_Data!K440</f>
        <v/>
      </c>
      <c r="L440" s="8">
        <f>Raw_Data!L440</f>
        <v/>
      </c>
      <c r="M440" s="7">
        <f>Raw_Data!M440</f>
        <v/>
      </c>
      <c r="N440" s="7">
        <f>Raw_Data!N440</f>
        <v/>
      </c>
      <c r="O440" s="7">
        <f>Raw_Data!O440</f>
        <v/>
      </c>
      <c r="P440" s="8">
        <f>Raw_Data!P440</f>
        <v/>
      </c>
      <c r="R440" s="9">
        <f>IFERROR(Cleaned_Data!M440/Cleaned_Data!K440,0)</f>
        <v/>
      </c>
    </row>
    <row r="441">
      <c r="A441" s="10">
        <f>Raw_Data!A441</f>
        <v/>
      </c>
      <c r="B441" s="11">
        <f>Raw_Data!B441</f>
        <v/>
      </c>
      <c r="C441" s="11">
        <f>Raw_Data!C441</f>
        <v/>
      </c>
      <c r="D441" s="10">
        <f>Raw_Data!D441</f>
        <v/>
      </c>
      <c r="E441" s="10">
        <f>Raw_Data!E441</f>
        <v/>
      </c>
      <c r="F441" s="11">
        <f>Raw_Data!F441</f>
        <v/>
      </c>
      <c r="G441" s="11">
        <f>Raw_Data!G441</f>
        <v/>
      </c>
      <c r="H441" s="10">
        <f>Raw_Data!H441</f>
        <v/>
      </c>
      <c r="I441" s="10">
        <f>Raw_Data!I441</f>
        <v/>
      </c>
      <c r="J441" s="11">
        <f>Raw_Data!J441</f>
        <v/>
      </c>
      <c r="K441" s="11">
        <f>Raw_Data!K441</f>
        <v/>
      </c>
      <c r="L441" s="11">
        <f>Raw_Data!L441</f>
        <v/>
      </c>
      <c r="M441" s="10">
        <f>Raw_Data!M441</f>
        <v/>
      </c>
      <c r="N441" s="10">
        <f>Raw_Data!N441</f>
        <v/>
      </c>
      <c r="O441" s="10">
        <f>Raw_Data!O441</f>
        <v/>
      </c>
      <c r="P441" s="11">
        <f>Raw_Data!P441</f>
        <v/>
      </c>
      <c r="R441" s="9">
        <f>IFERROR(Cleaned_Data!M441/Cleaned_Data!K441,0)</f>
        <v/>
      </c>
    </row>
    <row r="442">
      <c r="A442" s="7">
        <f>Raw_Data!A442</f>
        <v/>
      </c>
      <c r="B442" s="8">
        <f>Raw_Data!B442</f>
        <v/>
      </c>
      <c r="C442" s="8">
        <f>Raw_Data!C442</f>
        <v/>
      </c>
      <c r="D442" s="7">
        <f>Raw_Data!D442</f>
        <v/>
      </c>
      <c r="E442" s="7">
        <f>Raw_Data!E442</f>
        <v/>
      </c>
      <c r="F442" s="8">
        <f>Raw_Data!F442</f>
        <v/>
      </c>
      <c r="G442" s="8">
        <f>Raw_Data!G442</f>
        <v/>
      </c>
      <c r="H442" s="7">
        <f>Raw_Data!H442</f>
        <v/>
      </c>
      <c r="I442" s="7">
        <f>Raw_Data!I442</f>
        <v/>
      </c>
      <c r="J442" s="8">
        <f>Raw_Data!J442</f>
        <v/>
      </c>
      <c r="K442" s="8">
        <f>Raw_Data!K442</f>
        <v/>
      </c>
      <c r="L442" s="8">
        <f>Raw_Data!L442</f>
        <v/>
      </c>
      <c r="M442" s="7">
        <f>Raw_Data!M442</f>
        <v/>
      </c>
      <c r="N442" s="7">
        <f>Raw_Data!N442</f>
        <v/>
      </c>
      <c r="O442" s="7">
        <f>Raw_Data!O442</f>
        <v/>
      </c>
      <c r="P442" s="8">
        <f>Raw_Data!P442</f>
        <v/>
      </c>
      <c r="R442" s="9">
        <f>IFERROR(Cleaned_Data!M442/Cleaned_Data!K442,0)</f>
        <v/>
      </c>
    </row>
    <row r="443">
      <c r="A443" s="10">
        <f>Raw_Data!A443</f>
        <v/>
      </c>
      <c r="B443" s="11">
        <f>Raw_Data!B443</f>
        <v/>
      </c>
      <c r="C443" s="11">
        <f>Raw_Data!C443</f>
        <v/>
      </c>
      <c r="D443" s="10">
        <f>Raw_Data!D443</f>
        <v/>
      </c>
      <c r="E443" s="10">
        <f>Raw_Data!E443</f>
        <v/>
      </c>
      <c r="F443" s="11">
        <f>Raw_Data!F443</f>
        <v/>
      </c>
      <c r="G443" s="11">
        <f>Raw_Data!G443</f>
        <v/>
      </c>
      <c r="H443" s="10">
        <f>Raw_Data!H443</f>
        <v/>
      </c>
      <c r="I443" s="10">
        <f>Raw_Data!I443</f>
        <v/>
      </c>
      <c r="J443" s="11">
        <f>Raw_Data!J443</f>
        <v/>
      </c>
      <c r="K443" s="11">
        <f>Raw_Data!K443</f>
        <v/>
      </c>
      <c r="L443" s="11">
        <f>Raw_Data!L443</f>
        <v/>
      </c>
      <c r="M443" s="10">
        <f>Raw_Data!M443</f>
        <v/>
      </c>
      <c r="N443" s="10">
        <f>Raw_Data!N443</f>
        <v/>
      </c>
      <c r="O443" s="10">
        <f>Raw_Data!O443</f>
        <v/>
      </c>
      <c r="P443" s="11">
        <f>Raw_Data!P443</f>
        <v/>
      </c>
      <c r="R443" s="9">
        <f>IFERROR(Cleaned_Data!M443/Cleaned_Data!K443,0)</f>
        <v/>
      </c>
    </row>
    <row r="444">
      <c r="A444" s="7">
        <f>Raw_Data!A444</f>
        <v/>
      </c>
      <c r="B444" s="8">
        <f>Raw_Data!B444</f>
        <v/>
      </c>
      <c r="C444" s="8">
        <f>Raw_Data!C444</f>
        <v/>
      </c>
      <c r="D444" s="7">
        <f>Raw_Data!D444</f>
        <v/>
      </c>
      <c r="E444" s="7">
        <f>Raw_Data!E444</f>
        <v/>
      </c>
      <c r="F444" s="8">
        <f>Raw_Data!F444</f>
        <v/>
      </c>
      <c r="G444" s="8">
        <f>Raw_Data!G444</f>
        <v/>
      </c>
      <c r="H444" s="7">
        <f>Raw_Data!H444</f>
        <v/>
      </c>
      <c r="I444" s="7">
        <f>Raw_Data!I444</f>
        <v/>
      </c>
      <c r="J444" s="8">
        <f>Raw_Data!J444</f>
        <v/>
      </c>
      <c r="K444" s="8">
        <f>Raw_Data!K444</f>
        <v/>
      </c>
      <c r="L444" s="8">
        <f>Raw_Data!L444</f>
        <v/>
      </c>
      <c r="M444" s="7">
        <f>Raw_Data!M444</f>
        <v/>
      </c>
      <c r="N444" s="7">
        <f>Raw_Data!N444</f>
        <v/>
      </c>
      <c r="O444" s="7">
        <f>Raw_Data!O444</f>
        <v/>
      </c>
      <c r="P444" s="8">
        <f>Raw_Data!P444</f>
        <v/>
      </c>
      <c r="R444" s="9">
        <f>IFERROR(Cleaned_Data!M444/Cleaned_Data!K444,0)</f>
        <v/>
      </c>
    </row>
    <row r="445">
      <c r="A445" s="10">
        <f>Raw_Data!A445</f>
        <v/>
      </c>
      <c r="B445" s="11">
        <f>Raw_Data!B445</f>
        <v/>
      </c>
      <c r="C445" s="11">
        <f>Raw_Data!C445</f>
        <v/>
      </c>
      <c r="D445" s="10">
        <f>Raw_Data!D445</f>
        <v/>
      </c>
      <c r="E445" s="10">
        <f>Raw_Data!E445</f>
        <v/>
      </c>
      <c r="F445" s="11">
        <f>Raw_Data!F445</f>
        <v/>
      </c>
      <c r="G445" s="11">
        <f>Raw_Data!G445</f>
        <v/>
      </c>
      <c r="H445" s="10">
        <f>Raw_Data!H445</f>
        <v/>
      </c>
      <c r="I445" s="10">
        <f>Raw_Data!I445</f>
        <v/>
      </c>
      <c r="J445" s="11">
        <f>Raw_Data!J445</f>
        <v/>
      </c>
      <c r="K445" s="11">
        <f>Raw_Data!K445</f>
        <v/>
      </c>
      <c r="L445" s="11">
        <f>Raw_Data!L445</f>
        <v/>
      </c>
      <c r="M445" s="10">
        <f>Raw_Data!M445</f>
        <v/>
      </c>
      <c r="N445" s="10">
        <f>Raw_Data!N445</f>
        <v/>
      </c>
      <c r="O445" s="10">
        <f>Raw_Data!O445</f>
        <v/>
      </c>
      <c r="P445" s="11">
        <f>Raw_Data!P445</f>
        <v/>
      </c>
      <c r="R445" s="9">
        <f>IFERROR(Cleaned_Data!M445/Cleaned_Data!K445,0)</f>
        <v/>
      </c>
    </row>
    <row r="446">
      <c r="A446" s="7">
        <f>Raw_Data!A446</f>
        <v/>
      </c>
      <c r="B446" s="8">
        <f>Raw_Data!B446</f>
        <v/>
      </c>
      <c r="C446" s="8">
        <f>Raw_Data!C446</f>
        <v/>
      </c>
      <c r="D446" s="7">
        <f>Raw_Data!D446</f>
        <v/>
      </c>
      <c r="E446" s="7">
        <f>Raw_Data!E446</f>
        <v/>
      </c>
      <c r="F446" s="8">
        <f>Raw_Data!F446</f>
        <v/>
      </c>
      <c r="G446" s="8">
        <f>Raw_Data!G446</f>
        <v/>
      </c>
      <c r="H446" s="7">
        <f>Raw_Data!H446</f>
        <v/>
      </c>
      <c r="I446" s="7">
        <f>Raw_Data!I446</f>
        <v/>
      </c>
      <c r="J446" s="8">
        <f>Raw_Data!J446</f>
        <v/>
      </c>
      <c r="K446" s="8">
        <f>Raw_Data!K446</f>
        <v/>
      </c>
      <c r="L446" s="8">
        <f>Raw_Data!L446</f>
        <v/>
      </c>
      <c r="M446" s="7">
        <f>Raw_Data!M446</f>
        <v/>
      </c>
      <c r="N446" s="7">
        <f>Raw_Data!N446</f>
        <v/>
      </c>
      <c r="O446" s="7">
        <f>Raw_Data!O446</f>
        <v/>
      </c>
      <c r="P446" s="8">
        <f>Raw_Data!P446</f>
        <v/>
      </c>
      <c r="R446" s="9">
        <f>IFERROR(Cleaned_Data!M446/Cleaned_Data!K446,0)</f>
        <v/>
      </c>
    </row>
    <row r="447">
      <c r="A447" s="10">
        <f>Raw_Data!A447</f>
        <v/>
      </c>
      <c r="B447" s="11">
        <f>Raw_Data!B447</f>
        <v/>
      </c>
      <c r="C447" s="11">
        <f>Raw_Data!C447</f>
        <v/>
      </c>
      <c r="D447" s="10">
        <f>Raw_Data!D447</f>
        <v/>
      </c>
      <c r="E447" s="10">
        <f>Raw_Data!E447</f>
        <v/>
      </c>
      <c r="F447" s="11">
        <f>Raw_Data!F447</f>
        <v/>
      </c>
      <c r="G447" s="11">
        <f>Raw_Data!G447</f>
        <v/>
      </c>
      <c r="H447" s="10">
        <f>Raw_Data!H447</f>
        <v/>
      </c>
      <c r="I447" s="10">
        <f>Raw_Data!I447</f>
        <v/>
      </c>
      <c r="J447" s="11">
        <f>Raw_Data!J447</f>
        <v/>
      </c>
      <c r="K447" s="11">
        <f>Raw_Data!K447</f>
        <v/>
      </c>
      <c r="L447" s="11">
        <f>Raw_Data!L447</f>
        <v/>
      </c>
      <c r="M447" s="10">
        <f>Raw_Data!M447</f>
        <v/>
      </c>
      <c r="N447" s="10">
        <f>Raw_Data!N447</f>
        <v/>
      </c>
      <c r="O447" s="10">
        <f>Raw_Data!O447</f>
        <v/>
      </c>
      <c r="P447" s="11">
        <f>Raw_Data!P447</f>
        <v/>
      </c>
      <c r="R447" s="9">
        <f>IFERROR(Cleaned_Data!M447/Cleaned_Data!K447,0)</f>
        <v/>
      </c>
    </row>
    <row r="448">
      <c r="A448" s="7">
        <f>Raw_Data!A448</f>
        <v/>
      </c>
      <c r="B448" s="8">
        <f>Raw_Data!B448</f>
        <v/>
      </c>
      <c r="C448" s="8">
        <f>Raw_Data!C448</f>
        <v/>
      </c>
      <c r="D448" s="7">
        <f>Raw_Data!D448</f>
        <v/>
      </c>
      <c r="E448" s="7">
        <f>Raw_Data!E448</f>
        <v/>
      </c>
      <c r="F448" s="8">
        <f>Raw_Data!F448</f>
        <v/>
      </c>
      <c r="G448" s="8">
        <f>Raw_Data!G448</f>
        <v/>
      </c>
      <c r="H448" s="7">
        <f>Raw_Data!H448</f>
        <v/>
      </c>
      <c r="I448" s="7">
        <f>Raw_Data!I448</f>
        <v/>
      </c>
      <c r="J448" s="8">
        <f>Raw_Data!J448</f>
        <v/>
      </c>
      <c r="K448" s="8">
        <f>Raw_Data!K448</f>
        <v/>
      </c>
      <c r="L448" s="8">
        <f>Raw_Data!L448</f>
        <v/>
      </c>
      <c r="M448" s="7">
        <f>Raw_Data!M448</f>
        <v/>
      </c>
      <c r="N448" s="7">
        <f>Raw_Data!N448</f>
        <v/>
      </c>
      <c r="O448" s="7">
        <f>Raw_Data!O448</f>
        <v/>
      </c>
      <c r="P448" s="8">
        <f>Raw_Data!P448</f>
        <v/>
      </c>
      <c r="R448" s="9">
        <f>IFERROR(Cleaned_Data!M448/Cleaned_Data!K448,0)</f>
        <v/>
      </c>
    </row>
    <row r="449">
      <c r="A449" s="10">
        <f>Raw_Data!A449</f>
        <v/>
      </c>
      <c r="B449" s="11">
        <f>Raw_Data!B449</f>
        <v/>
      </c>
      <c r="C449" s="11">
        <f>Raw_Data!C449</f>
        <v/>
      </c>
      <c r="D449" s="10">
        <f>Raw_Data!D449</f>
        <v/>
      </c>
      <c r="E449" s="10">
        <f>Raw_Data!E449</f>
        <v/>
      </c>
      <c r="F449" s="11">
        <f>Raw_Data!F449</f>
        <v/>
      </c>
      <c r="G449" s="11">
        <f>Raw_Data!G449</f>
        <v/>
      </c>
      <c r="H449" s="10">
        <f>Raw_Data!H449</f>
        <v/>
      </c>
      <c r="I449" s="10">
        <f>Raw_Data!I449</f>
        <v/>
      </c>
      <c r="J449" s="11">
        <f>Raw_Data!J449</f>
        <v/>
      </c>
      <c r="K449" s="11">
        <f>Raw_Data!K449</f>
        <v/>
      </c>
      <c r="L449" s="11">
        <f>Raw_Data!L449</f>
        <v/>
      </c>
      <c r="M449" s="10">
        <f>Raw_Data!M449</f>
        <v/>
      </c>
      <c r="N449" s="10">
        <f>Raw_Data!N449</f>
        <v/>
      </c>
      <c r="O449" s="10">
        <f>Raw_Data!O449</f>
        <v/>
      </c>
      <c r="P449" s="11">
        <f>Raw_Data!P449</f>
        <v/>
      </c>
      <c r="R449" s="9">
        <f>IFERROR(Cleaned_Data!M449/Cleaned_Data!K449,0)</f>
        <v/>
      </c>
    </row>
    <row r="450">
      <c r="A450" s="7">
        <f>Raw_Data!A450</f>
        <v/>
      </c>
      <c r="B450" s="8">
        <f>Raw_Data!B450</f>
        <v/>
      </c>
      <c r="C450" s="8">
        <f>Raw_Data!C450</f>
        <v/>
      </c>
      <c r="D450" s="7">
        <f>Raw_Data!D450</f>
        <v/>
      </c>
      <c r="E450" s="7">
        <f>Raw_Data!E450</f>
        <v/>
      </c>
      <c r="F450" s="8">
        <f>Raw_Data!F450</f>
        <v/>
      </c>
      <c r="G450" s="8">
        <f>Raw_Data!G450</f>
        <v/>
      </c>
      <c r="H450" s="7">
        <f>Raw_Data!H450</f>
        <v/>
      </c>
      <c r="I450" s="7">
        <f>Raw_Data!I450</f>
        <v/>
      </c>
      <c r="J450" s="8">
        <f>Raw_Data!J450</f>
        <v/>
      </c>
      <c r="K450" s="8">
        <f>Raw_Data!K450</f>
        <v/>
      </c>
      <c r="L450" s="8">
        <f>Raw_Data!L450</f>
        <v/>
      </c>
      <c r="M450" s="7">
        <f>Raw_Data!M450</f>
        <v/>
      </c>
      <c r="N450" s="7">
        <f>Raw_Data!N450</f>
        <v/>
      </c>
      <c r="O450" s="7">
        <f>Raw_Data!O450</f>
        <v/>
      </c>
      <c r="P450" s="8">
        <f>Raw_Data!P450</f>
        <v/>
      </c>
      <c r="R450" s="9">
        <f>IFERROR(Cleaned_Data!M450/Cleaned_Data!K450,0)</f>
        <v/>
      </c>
    </row>
    <row r="451">
      <c r="A451" s="10">
        <f>Raw_Data!A451</f>
        <v/>
      </c>
      <c r="B451" s="11">
        <f>Raw_Data!B451</f>
        <v/>
      </c>
      <c r="C451" s="11">
        <f>Raw_Data!C451</f>
        <v/>
      </c>
      <c r="D451" s="10">
        <f>Raw_Data!D451</f>
        <v/>
      </c>
      <c r="E451" s="10">
        <f>Raw_Data!E451</f>
        <v/>
      </c>
      <c r="F451" s="11">
        <f>Raw_Data!F451</f>
        <v/>
      </c>
      <c r="G451" s="11">
        <f>Raw_Data!G451</f>
        <v/>
      </c>
      <c r="H451" s="10">
        <f>Raw_Data!H451</f>
        <v/>
      </c>
      <c r="I451" s="10">
        <f>Raw_Data!I451</f>
        <v/>
      </c>
      <c r="J451" s="11">
        <f>Raw_Data!J451</f>
        <v/>
      </c>
      <c r="K451" s="11">
        <f>Raw_Data!K451</f>
        <v/>
      </c>
      <c r="L451" s="11">
        <f>Raw_Data!L451</f>
        <v/>
      </c>
      <c r="M451" s="10">
        <f>Raw_Data!M451</f>
        <v/>
      </c>
      <c r="N451" s="10">
        <f>Raw_Data!N451</f>
        <v/>
      </c>
      <c r="O451" s="10">
        <f>Raw_Data!O451</f>
        <v/>
      </c>
      <c r="P451" s="11">
        <f>Raw_Data!P451</f>
        <v/>
      </c>
      <c r="R451" s="9">
        <f>IFERROR(Cleaned_Data!M451/Cleaned_Data!K451,0)</f>
        <v/>
      </c>
    </row>
    <row r="452">
      <c r="A452" s="7">
        <f>Raw_Data!A452</f>
        <v/>
      </c>
      <c r="B452" s="8">
        <f>Raw_Data!B452</f>
        <v/>
      </c>
      <c r="C452" s="8">
        <f>Raw_Data!C452</f>
        <v/>
      </c>
      <c r="D452" s="7">
        <f>Raw_Data!D452</f>
        <v/>
      </c>
      <c r="E452" s="7">
        <f>Raw_Data!E452</f>
        <v/>
      </c>
      <c r="F452" s="8">
        <f>Raw_Data!F452</f>
        <v/>
      </c>
      <c r="G452" s="8">
        <f>Raw_Data!G452</f>
        <v/>
      </c>
      <c r="H452" s="7">
        <f>Raw_Data!H452</f>
        <v/>
      </c>
      <c r="I452" s="7">
        <f>Raw_Data!I452</f>
        <v/>
      </c>
      <c r="J452" s="8">
        <f>Raw_Data!J452</f>
        <v/>
      </c>
      <c r="K452" s="8">
        <f>Raw_Data!K452</f>
        <v/>
      </c>
      <c r="L452" s="8">
        <f>Raw_Data!L452</f>
        <v/>
      </c>
      <c r="M452" s="7">
        <f>Raw_Data!M452</f>
        <v/>
      </c>
      <c r="N452" s="7">
        <f>Raw_Data!N452</f>
        <v/>
      </c>
      <c r="O452" s="7">
        <f>Raw_Data!O452</f>
        <v/>
      </c>
      <c r="P452" s="8">
        <f>Raw_Data!P452</f>
        <v/>
      </c>
      <c r="R452" s="9">
        <f>IFERROR(Cleaned_Data!M452/Cleaned_Data!K452,0)</f>
        <v/>
      </c>
    </row>
    <row r="453">
      <c r="A453" s="10">
        <f>Raw_Data!A453</f>
        <v/>
      </c>
      <c r="B453" s="11">
        <f>Raw_Data!B453</f>
        <v/>
      </c>
      <c r="C453" s="11">
        <f>Raw_Data!C453</f>
        <v/>
      </c>
      <c r="D453" s="10">
        <f>Raw_Data!D453</f>
        <v/>
      </c>
      <c r="E453" s="10">
        <f>Raw_Data!E453</f>
        <v/>
      </c>
      <c r="F453" s="11">
        <f>Raw_Data!F453</f>
        <v/>
      </c>
      <c r="G453" s="11">
        <f>Raw_Data!G453</f>
        <v/>
      </c>
      <c r="H453" s="10">
        <f>Raw_Data!H453</f>
        <v/>
      </c>
      <c r="I453" s="10">
        <f>Raw_Data!I453</f>
        <v/>
      </c>
      <c r="J453" s="11">
        <f>Raw_Data!J453</f>
        <v/>
      </c>
      <c r="K453" s="11">
        <f>Raw_Data!K453</f>
        <v/>
      </c>
      <c r="L453" s="11">
        <f>Raw_Data!L453</f>
        <v/>
      </c>
      <c r="M453" s="10">
        <f>Raw_Data!M453</f>
        <v/>
      </c>
      <c r="N453" s="10">
        <f>Raw_Data!N453</f>
        <v/>
      </c>
      <c r="O453" s="10">
        <f>Raw_Data!O453</f>
        <v/>
      </c>
      <c r="P453" s="11">
        <f>Raw_Data!P453</f>
        <v/>
      </c>
      <c r="R453" s="9">
        <f>IFERROR(Cleaned_Data!M453/Cleaned_Data!K453,0)</f>
        <v/>
      </c>
    </row>
    <row r="454">
      <c r="A454" s="7">
        <f>Raw_Data!A454</f>
        <v/>
      </c>
      <c r="B454" s="8">
        <f>Raw_Data!B454</f>
        <v/>
      </c>
      <c r="C454" s="8">
        <f>Raw_Data!C454</f>
        <v/>
      </c>
      <c r="D454" s="7">
        <f>Raw_Data!D454</f>
        <v/>
      </c>
      <c r="E454" s="7">
        <f>Raw_Data!E454</f>
        <v/>
      </c>
      <c r="F454" s="8">
        <f>Raw_Data!F454</f>
        <v/>
      </c>
      <c r="G454" s="8">
        <f>Raw_Data!G454</f>
        <v/>
      </c>
      <c r="H454" s="7">
        <f>Raw_Data!H454</f>
        <v/>
      </c>
      <c r="I454" s="7">
        <f>Raw_Data!I454</f>
        <v/>
      </c>
      <c r="J454" s="8">
        <f>Raw_Data!J454</f>
        <v/>
      </c>
      <c r="K454" s="8">
        <f>Raw_Data!K454</f>
        <v/>
      </c>
      <c r="L454" s="8">
        <f>Raw_Data!L454</f>
        <v/>
      </c>
      <c r="M454" s="7">
        <f>Raw_Data!M454</f>
        <v/>
      </c>
      <c r="N454" s="7">
        <f>Raw_Data!N454</f>
        <v/>
      </c>
      <c r="O454" s="7">
        <f>Raw_Data!O454</f>
        <v/>
      </c>
      <c r="P454" s="8">
        <f>Raw_Data!P454</f>
        <v/>
      </c>
      <c r="R454" s="9">
        <f>IFERROR(Cleaned_Data!M454/Cleaned_Data!K454,0)</f>
        <v/>
      </c>
    </row>
    <row r="455">
      <c r="A455" s="10">
        <f>Raw_Data!A455</f>
        <v/>
      </c>
      <c r="B455" s="11">
        <f>Raw_Data!B455</f>
        <v/>
      </c>
      <c r="C455" s="11">
        <f>Raw_Data!C455</f>
        <v/>
      </c>
      <c r="D455" s="10">
        <f>Raw_Data!D455</f>
        <v/>
      </c>
      <c r="E455" s="10">
        <f>Raw_Data!E455</f>
        <v/>
      </c>
      <c r="F455" s="11">
        <f>Raw_Data!F455</f>
        <v/>
      </c>
      <c r="G455" s="11">
        <f>Raw_Data!G455</f>
        <v/>
      </c>
      <c r="H455" s="10">
        <f>Raw_Data!H455</f>
        <v/>
      </c>
      <c r="I455" s="10">
        <f>Raw_Data!I455</f>
        <v/>
      </c>
      <c r="J455" s="11">
        <f>Raw_Data!J455</f>
        <v/>
      </c>
      <c r="K455" s="11">
        <f>Raw_Data!K455</f>
        <v/>
      </c>
      <c r="L455" s="11">
        <f>Raw_Data!L455</f>
        <v/>
      </c>
      <c r="M455" s="10">
        <f>Raw_Data!M455</f>
        <v/>
      </c>
      <c r="N455" s="10">
        <f>Raw_Data!N455</f>
        <v/>
      </c>
      <c r="O455" s="10">
        <f>Raw_Data!O455</f>
        <v/>
      </c>
      <c r="P455" s="11">
        <f>Raw_Data!P455</f>
        <v/>
      </c>
      <c r="R455" s="9">
        <f>IFERROR(Cleaned_Data!M455/Cleaned_Data!K455,0)</f>
        <v/>
      </c>
    </row>
    <row r="456">
      <c r="A456" s="7">
        <f>Raw_Data!A456</f>
        <v/>
      </c>
      <c r="B456" s="8">
        <f>Raw_Data!B456</f>
        <v/>
      </c>
      <c r="C456" s="8">
        <f>Raw_Data!C456</f>
        <v/>
      </c>
      <c r="D456" s="7">
        <f>Raw_Data!D456</f>
        <v/>
      </c>
      <c r="E456" s="7">
        <f>Raw_Data!E456</f>
        <v/>
      </c>
      <c r="F456" s="8">
        <f>Raw_Data!F456</f>
        <v/>
      </c>
      <c r="G456" s="8">
        <f>Raw_Data!G456</f>
        <v/>
      </c>
      <c r="H456" s="7">
        <f>Raw_Data!H456</f>
        <v/>
      </c>
      <c r="I456" s="7">
        <f>Raw_Data!I456</f>
        <v/>
      </c>
      <c r="J456" s="8">
        <f>Raw_Data!J456</f>
        <v/>
      </c>
      <c r="K456" s="8">
        <f>Raw_Data!K456</f>
        <v/>
      </c>
      <c r="L456" s="8">
        <f>Raw_Data!L456</f>
        <v/>
      </c>
      <c r="M456" s="7">
        <f>Raw_Data!M456</f>
        <v/>
      </c>
      <c r="N456" s="7">
        <f>Raw_Data!N456</f>
        <v/>
      </c>
      <c r="O456" s="7">
        <f>Raw_Data!O456</f>
        <v/>
      </c>
      <c r="P456" s="8">
        <f>Raw_Data!P456</f>
        <v/>
      </c>
      <c r="R456" s="9">
        <f>IFERROR(Cleaned_Data!M456/Cleaned_Data!K456,0)</f>
        <v/>
      </c>
    </row>
    <row r="457">
      <c r="A457" s="10">
        <f>Raw_Data!A457</f>
        <v/>
      </c>
      <c r="B457" s="11">
        <f>Raw_Data!B457</f>
        <v/>
      </c>
      <c r="C457" s="11">
        <f>Raw_Data!C457</f>
        <v/>
      </c>
      <c r="D457" s="10">
        <f>Raw_Data!D457</f>
        <v/>
      </c>
      <c r="E457" s="10">
        <f>Raw_Data!E457</f>
        <v/>
      </c>
      <c r="F457" s="11">
        <f>Raw_Data!F457</f>
        <v/>
      </c>
      <c r="G457" s="11">
        <f>Raw_Data!G457</f>
        <v/>
      </c>
      <c r="H457" s="10">
        <f>Raw_Data!H457</f>
        <v/>
      </c>
      <c r="I457" s="10">
        <f>Raw_Data!I457</f>
        <v/>
      </c>
      <c r="J457" s="11">
        <f>Raw_Data!J457</f>
        <v/>
      </c>
      <c r="K457" s="11">
        <f>Raw_Data!K457</f>
        <v/>
      </c>
      <c r="L457" s="11">
        <f>Raw_Data!L457</f>
        <v/>
      </c>
      <c r="M457" s="10">
        <f>Raw_Data!M457</f>
        <v/>
      </c>
      <c r="N457" s="10">
        <f>Raw_Data!N457</f>
        <v/>
      </c>
      <c r="O457" s="10">
        <f>Raw_Data!O457</f>
        <v/>
      </c>
      <c r="P457" s="11">
        <f>Raw_Data!P457</f>
        <v/>
      </c>
      <c r="R457" s="9">
        <f>IFERROR(Cleaned_Data!M457/Cleaned_Data!K457,0)</f>
        <v/>
      </c>
    </row>
    <row r="458">
      <c r="A458" s="7">
        <f>Raw_Data!A458</f>
        <v/>
      </c>
      <c r="B458" s="8">
        <f>Raw_Data!B458</f>
        <v/>
      </c>
      <c r="C458" s="8">
        <f>Raw_Data!C458</f>
        <v/>
      </c>
      <c r="D458" s="7">
        <f>Raw_Data!D458</f>
        <v/>
      </c>
      <c r="E458" s="7">
        <f>Raw_Data!E458</f>
        <v/>
      </c>
      <c r="F458" s="8">
        <f>Raw_Data!F458</f>
        <v/>
      </c>
      <c r="G458" s="8">
        <f>Raw_Data!G458</f>
        <v/>
      </c>
      <c r="H458" s="7">
        <f>Raw_Data!H458</f>
        <v/>
      </c>
      <c r="I458" s="7">
        <f>Raw_Data!I458</f>
        <v/>
      </c>
      <c r="J458" s="8">
        <f>Raw_Data!J458</f>
        <v/>
      </c>
      <c r="K458" s="8">
        <f>Raw_Data!K458</f>
        <v/>
      </c>
      <c r="L458" s="8">
        <f>Raw_Data!L458</f>
        <v/>
      </c>
      <c r="M458" s="7">
        <f>Raw_Data!M458</f>
        <v/>
      </c>
      <c r="N458" s="7">
        <f>Raw_Data!N458</f>
        <v/>
      </c>
      <c r="O458" s="7">
        <f>Raw_Data!O458</f>
        <v/>
      </c>
      <c r="P458" s="8">
        <f>Raw_Data!P458</f>
        <v/>
      </c>
      <c r="R458" s="9">
        <f>IFERROR(Cleaned_Data!M458/Cleaned_Data!K458,0)</f>
        <v/>
      </c>
    </row>
    <row r="459">
      <c r="A459" s="10">
        <f>Raw_Data!A459</f>
        <v/>
      </c>
      <c r="B459" s="11">
        <f>Raw_Data!B459</f>
        <v/>
      </c>
      <c r="C459" s="11">
        <f>Raw_Data!C459</f>
        <v/>
      </c>
      <c r="D459" s="10">
        <f>Raw_Data!D459</f>
        <v/>
      </c>
      <c r="E459" s="10">
        <f>Raw_Data!E459</f>
        <v/>
      </c>
      <c r="F459" s="11">
        <f>Raw_Data!F459</f>
        <v/>
      </c>
      <c r="G459" s="11">
        <f>Raw_Data!G459</f>
        <v/>
      </c>
      <c r="H459" s="10">
        <f>Raw_Data!H459</f>
        <v/>
      </c>
      <c r="I459" s="10">
        <f>Raw_Data!I459</f>
        <v/>
      </c>
      <c r="J459" s="11">
        <f>Raw_Data!J459</f>
        <v/>
      </c>
      <c r="K459" s="11">
        <f>Raw_Data!K459</f>
        <v/>
      </c>
      <c r="L459" s="11">
        <f>Raw_Data!L459</f>
        <v/>
      </c>
      <c r="M459" s="10">
        <f>Raw_Data!M459</f>
        <v/>
      </c>
      <c r="N459" s="10">
        <f>Raw_Data!N459</f>
        <v/>
      </c>
      <c r="O459" s="10">
        <f>Raw_Data!O459</f>
        <v/>
      </c>
      <c r="P459" s="11">
        <f>Raw_Data!P459</f>
        <v/>
      </c>
      <c r="R459" s="9">
        <f>IFERROR(Cleaned_Data!M459/Cleaned_Data!K459,0)</f>
        <v/>
      </c>
    </row>
    <row r="460">
      <c r="A460" s="7">
        <f>Raw_Data!A460</f>
        <v/>
      </c>
      <c r="B460" s="8">
        <f>Raw_Data!B460</f>
        <v/>
      </c>
      <c r="C460" s="8">
        <f>Raw_Data!C460</f>
        <v/>
      </c>
      <c r="D460" s="7">
        <f>Raw_Data!D460</f>
        <v/>
      </c>
      <c r="E460" s="7">
        <f>Raw_Data!E460</f>
        <v/>
      </c>
      <c r="F460" s="8">
        <f>Raw_Data!F460</f>
        <v/>
      </c>
      <c r="G460" s="8">
        <f>Raw_Data!G460</f>
        <v/>
      </c>
      <c r="H460" s="7">
        <f>Raw_Data!H460</f>
        <v/>
      </c>
      <c r="I460" s="7">
        <f>Raw_Data!I460</f>
        <v/>
      </c>
      <c r="J460" s="8">
        <f>Raw_Data!J460</f>
        <v/>
      </c>
      <c r="K460" s="8">
        <f>Raw_Data!K460</f>
        <v/>
      </c>
      <c r="L460" s="8">
        <f>Raw_Data!L460</f>
        <v/>
      </c>
      <c r="M460" s="7">
        <f>Raw_Data!M460</f>
        <v/>
      </c>
      <c r="N460" s="7">
        <f>Raw_Data!N460</f>
        <v/>
      </c>
      <c r="O460" s="7">
        <f>Raw_Data!O460</f>
        <v/>
      </c>
      <c r="P460" s="8">
        <f>Raw_Data!P460</f>
        <v/>
      </c>
      <c r="R460" s="9">
        <f>IFERROR(Cleaned_Data!M460/Cleaned_Data!K460,0)</f>
        <v/>
      </c>
    </row>
    <row r="461">
      <c r="A461" s="10">
        <f>Raw_Data!A461</f>
        <v/>
      </c>
      <c r="B461" s="11">
        <f>Raw_Data!B461</f>
        <v/>
      </c>
      <c r="C461" s="11">
        <f>Raw_Data!C461</f>
        <v/>
      </c>
      <c r="D461" s="10">
        <f>Raw_Data!D461</f>
        <v/>
      </c>
      <c r="E461" s="10">
        <f>Raw_Data!E461</f>
        <v/>
      </c>
      <c r="F461" s="11">
        <f>Raw_Data!F461</f>
        <v/>
      </c>
      <c r="G461" s="11">
        <f>Raw_Data!G461</f>
        <v/>
      </c>
      <c r="H461" s="10">
        <f>Raw_Data!H461</f>
        <v/>
      </c>
      <c r="I461" s="10">
        <f>Raw_Data!I461</f>
        <v/>
      </c>
      <c r="J461" s="11">
        <f>Raw_Data!J461</f>
        <v/>
      </c>
      <c r="K461" s="11">
        <f>Raw_Data!K461</f>
        <v/>
      </c>
      <c r="L461" s="11">
        <f>Raw_Data!L461</f>
        <v/>
      </c>
      <c r="M461" s="10">
        <f>Raw_Data!M461</f>
        <v/>
      </c>
      <c r="N461" s="10">
        <f>Raw_Data!N461</f>
        <v/>
      </c>
      <c r="O461" s="10">
        <f>Raw_Data!O461</f>
        <v/>
      </c>
      <c r="P461" s="11">
        <f>Raw_Data!P461</f>
        <v/>
      </c>
      <c r="R461" s="9">
        <f>IFERROR(Cleaned_Data!M461/Cleaned_Data!K461,0)</f>
        <v/>
      </c>
    </row>
    <row r="462">
      <c r="A462" s="7">
        <f>Raw_Data!A462</f>
        <v/>
      </c>
      <c r="B462" s="8">
        <f>Raw_Data!B462</f>
        <v/>
      </c>
      <c r="C462" s="8">
        <f>Raw_Data!C462</f>
        <v/>
      </c>
      <c r="D462" s="7">
        <f>Raw_Data!D462</f>
        <v/>
      </c>
      <c r="E462" s="7">
        <f>Raw_Data!E462</f>
        <v/>
      </c>
      <c r="F462" s="8">
        <f>Raw_Data!F462</f>
        <v/>
      </c>
      <c r="G462" s="8">
        <f>Raw_Data!G462</f>
        <v/>
      </c>
      <c r="H462" s="7">
        <f>Raw_Data!H462</f>
        <v/>
      </c>
      <c r="I462" s="7">
        <f>Raw_Data!I462</f>
        <v/>
      </c>
      <c r="J462" s="8">
        <f>Raw_Data!J462</f>
        <v/>
      </c>
      <c r="K462" s="8">
        <f>Raw_Data!K462</f>
        <v/>
      </c>
      <c r="L462" s="8">
        <f>Raw_Data!L462</f>
        <v/>
      </c>
      <c r="M462" s="7">
        <f>Raw_Data!M462</f>
        <v/>
      </c>
      <c r="N462" s="7">
        <f>Raw_Data!N462</f>
        <v/>
      </c>
      <c r="O462" s="7">
        <f>Raw_Data!O462</f>
        <v/>
      </c>
      <c r="P462" s="8">
        <f>Raw_Data!P462</f>
        <v/>
      </c>
      <c r="R462" s="9">
        <f>IFERROR(Cleaned_Data!M462/Cleaned_Data!K462,0)</f>
        <v/>
      </c>
    </row>
    <row r="463">
      <c r="A463" s="10">
        <f>Raw_Data!A463</f>
        <v/>
      </c>
      <c r="B463" s="11">
        <f>Raw_Data!B463</f>
        <v/>
      </c>
      <c r="C463" s="11">
        <f>Raw_Data!C463</f>
        <v/>
      </c>
      <c r="D463" s="10">
        <f>Raw_Data!D463</f>
        <v/>
      </c>
      <c r="E463" s="10">
        <f>Raw_Data!E463</f>
        <v/>
      </c>
      <c r="F463" s="11">
        <f>Raw_Data!F463</f>
        <v/>
      </c>
      <c r="G463" s="11">
        <f>Raw_Data!G463</f>
        <v/>
      </c>
      <c r="H463" s="10">
        <f>Raw_Data!H463</f>
        <v/>
      </c>
      <c r="I463" s="10">
        <f>Raw_Data!I463</f>
        <v/>
      </c>
      <c r="J463" s="11">
        <f>Raw_Data!J463</f>
        <v/>
      </c>
      <c r="K463" s="11">
        <f>Raw_Data!K463</f>
        <v/>
      </c>
      <c r="L463" s="11">
        <f>Raw_Data!L463</f>
        <v/>
      </c>
      <c r="M463" s="10">
        <f>Raw_Data!M463</f>
        <v/>
      </c>
      <c r="N463" s="10">
        <f>Raw_Data!N463</f>
        <v/>
      </c>
      <c r="O463" s="10">
        <f>Raw_Data!O463</f>
        <v/>
      </c>
      <c r="P463" s="11">
        <f>Raw_Data!P463</f>
        <v/>
      </c>
      <c r="R463" s="9">
        <f>IFERROR(Cleaned_Data!M463/Cleaned_Data!K463,0)</f>
        <v/>
      </c>
    </row>
    <row r="464">
      <c r="A464" s="7">
        <f>Raw_Data!A464</f>
        <v/>
      </c>
      <c r="B464" s="8">
        <f>Raw_Data!B464</f>
        <v/>
      </c>
      <c r="C464" s="8">
        <f>Raw_Data!C464</f>
        <v/>
      </c>
      <c r="D464" s="7">
        <f>Raw_Data!D464</f>
        <v/>
      </c>
      <c r="E464" s="7">
        <f>Raw_Data!E464</f>
        <v/>
      </c>
      <c r="F464" s="8">
        <f>Raw_Data!F464</f>
        <v/>
      </c>
      <c r="G464" s="8">
        <f>Raw_Data!G464</f>
        <v/>
      </c>
      <c r="H464" s="7">
        <f>Raw_Data!H464</f>
        <v/>
      </c>
      <c r="I464" s="7">
        <f>Raw_Data!I464</f>
        <v/>
      </c>
      <c r="J464" s="8">
        <f>Raw_Data!J464</f>
        <v/>
      </c>
      <c r="K464" s="8">
        <f>Raw_Data!K464</f>
        <v/>
      </c>
      <c r="L464" s="8">
        <f>Raw_Data!L464</f>
        <v/>
      </c>
      <c r="M464" s="7">
        <f>Raw_Data!M464</f>
        <v/>
      </c>
      <c r="N464" s="7">
        <f>Raw_Data!N464</f>
        <v/>
      </c>
      <c r="O464" s="7">
        <f>Raw_Data!O464</f>
        <v/>
      </c>
      <c r="P464" s="8">
        <f>Raw_Data!P464</f>
        <v/>
      </c>
      <c r="R464" s="9">
        <f>IFERROR(Cleaned_Data!M464/Cleaned_Data!K464,0)</f>
        <v/>
      </c>
    </row>
    <row r="465">
      <c r="A465" s="10">
        <f>Raw_Data!A465</f>
        <v/>
      </c>
      <c r="B465" s="11">
        <f>Raw_Data!B465</f>
        <v/>
      </c>
      <c r="C465" s="11">
        <f>Raw_Data!C465</f>
        <v/>
      </c>
      <c r="D465" s="10">
        <f>Raw_Data!D465</f>
        <v/>
      </c>
      <c r="E465" s="10">
        <f>Raw_Data!E465</f>
        <v/>
      </c>
      <c r="F465" s="11">
        <f>Raw_Data!F465</f>
        <v/>
      </c>
      <c r="G465" s="11">
        <f>Raw_Data!G465</f>
        <v/>
      </c>
      <c r="H465" s="10">
        <f>Raw_Data!H465</f>
        <v/>
      </c>
      <c r="I465" s="10">
        <f>Raw_Data!I465</f>
        <v/>
      </c>
      <c r="J465" s="11">
        <f>Raw_Data!J465</f>
        <v/>
      </c>
      <c r="K465" s="11">
        <f>Raw_Data!K465</f>
        <v/>
      </c>
      <c r="L465" s="11">
        <f>Raw_Data!L465</f>
        <v/>
      </c>
      <c r="M465" s="10">
        <f>Raw_Data!M465</f>
        <v/>
      </c>
      <c r="N465" s="10">
        <f>Raw_Data!N465</f>
        <v/>
      </c>
      <c r="O465" s="10">
        <f>Raw_Data!O465</f>
        <v/>
      </c>
      <c r="P465" s="11">
        <f>Raw_Data!P465</f>
        <v/>
      </c>
      <c r="R465" s="9">
        <f>IFERROR(Cleaned_Data!M465/Cleaned_Data!K465,0)</f>
        <v/>
      </c>
    </row>
    <row r="466">
      <c r="A466" s="7">
        <f>Raw_Data!A466</f>
        <v/>
      </c>
      <c r="B466" s="8">
        <f>Raw_Data!B466</f>
        <v/>
      </c>
      <c r="C466" s="8">
        <f>Raw_Data!C466</f>
        <v/>
      </c>
      <c r="D466" s="7">
        <f>Raw_Data!D466</f>
        <v/>
      </c>
      <c r="E466" s="7">
        <f>Raw_Data!E466</f>
        <v/>
      </c>
      <c r="F466" s="8">
        <f>Raw_Data!F466</f>
        <v/>
      </c>
      <c r="G466" s="8">
        <f>Raw_Data!G466</f>
        <v/>
      </c>
      <c r="H466" s="7">
        <f>Raw_Data!H466</f>
        <v/>
      </c>
      <c r="I466" s="7">
        <f>Raw_Data!I466</f>
        <v/>
      </c>
      <c r="J466" s="8">
        <f>Raw_Data!J466</f>
        <v/>
      </c>
      <c r="K466" s="8">
        <f>Raw_Data!K466</f>
        <v/>
      </c>
      <c r="L466" s="8">
        <f>Raw_Data!L466</f>
        <v/>
      </c>
      <c r="M466" s="7">
        <f>Raw_Data!M466</f>
        <v/>
      </c>
      <c r="N466" s="7">
        <f>Raw_Data!N466</f>
        <v/>
      </c>
      <c r="O466" s="7">
        <f>Raw_Data!O466</f>
        <v/>
      </c>
      <c r="P466" s="8">
        <f>Raw_Data!P466</f>
        <v/>
      </c>
      <c r="R466" s="9">
        <f>IFERROR(Cleaned_Data!M466/Cleaned_Data!K466,0)</f>
        <v/>
      </c>
    </row>
    <row r="467">
      <c r="A467" s="10">
        <f>Raw_Data!A467</f>
        <v/>
      </c>
      <c r="B467" s="11">
        <f>Raw_Data!B467</f>
        <v/>
      </c>
      <c r="C467" s="11">
        <f>Raw_Data!C467</f>
        <v/>
      </c>
      <c r="D467" s="10">
        <f>Raw_Data!D467</f>
        <v/>
      </c>
      <c r="E467" s="10">
        <f>Raw_Data!E467</f>
        <v/>
      </c>
      <c r="F467" s="11">
        <f>Raw_Data!F467</f>
        <v/>
      </c>
      <c r="G467" s="11">
        <f>Raw_Data!G467</f>
        <v/>
      </c>
      <c r="H467" s="10">
        <f>Raw_Data!H467</f>
        <v/>
      </c>
      <c r="I467" s="10">
        <f>Raw_Data!I467</f>
        <v/>
      </c>
      <c r="J467" s="11">
        <f>Raw_Data!J467</f>
        <v/>
      </c>
      <c r="K467" s="11">
        <f>Raw_Data!K467</f>
        <v/>
      </c>
      <c r="L467" s="11">
        <f>Raw_Data!L467</f>
        <v/>
      </c>
      <c r="M467" s="10">
        <f>Raw_Data!M467</f>
        <v/>
      </c>
      <c r="N467" s="10">
        <f>Raw_Data!N467</f>
        <v/>
      </c>
      <c r="O467" s="10">
        <f>Raw_Data!O467</f>
        <v/>
      </c>
      <c r="P467" s="11">
        <f>Raw_Data!P467</f>
        <v/>
      </c>
      <c r="R467" s="9">
        <f>IFERROR(Cleaned_Data!M467/Cleaned_Data!K467,0)</f>
        <v/>
      </c>
    </row>
    <row r="468">
      <c r="A468" s="7">
        <f>Raw_Data!A468</f>
        <v/>
      </c>
      <c r="B468" s="8">
        <f>Raw_Data!B468</f>
        <v/>
      </c>
      <c r="C468" s="8">
        <f>Raw_Data!C468</f>
        <v/>
      </c>
      <c r="D468" s="7">
        <f>Raw_Data!D468</f>
        <v/>
      </c>
      <c r="E468" s="7">
        <f>Raw_Data!E468</f>
        <v/>
      </c>
      <c r="F468" s="8">
        <f>Raw_Data!F468</f>
        <v/>
      </c>
      <c r="G468" s="8">
        <f>Raw_Data!G468</f>
        <v/>
      </c>
      <c r="H468" s="7">
        <f>Raw_Data!H468</f>
        <v/>
      </c>
      <c r="I468" s="7">
        <f>Raw_Data!I468</f>
        <v/>
      </c>
      <c r="J468" s="8">
        <f>Raw_Data!J468</f>
        <v/>
      </c>
      <c r="K468" s="8">
        <f>Raw_Data!K468</f>
        <v/>
      </c>
      <c r="L468" s="8">
        <f>Raw_Data!L468</f>
        <v/>
      </c>
      <c r="M468" s="7">
        <f>Raw_Data!M468</f>
        <v/>
      </c>
      <c r="N468" s="7">
        <f>Raw_Data!N468</f>
        <v/>
      </c>
      <c r="O468" s="7">
        <f>Raw_Data!O468</f>
        <v/>
      </c>
      <c r="P468" s="8">
        <f>Raw_Data!P468</f>
        <v/>
      </c>
      <c r="R468" s="9">
        <f>IFERROR(Cleaned_Data!M468/Cleaned_Data!K468,0)</f>
        <v/>
      </c>
    </row>
    <row r="469">
      <c r="A469" s="10">
        <f>Raw_Data!A469</f>
        <v/>
      </c>
      <c r="B469" s="11">
        <f>Raw_Data!B469</f>
        <v/>
      </c>
      <c r="C469" s="11">
        <f>Raw_Data!C469</f>
        <v/>
      </c>
      <c r="D469" s="10">
        <f>Raw_Data!D469</f>
        <v/>
      </c>
      <c r="E469" s="10">
        <f>Raw_Data!E469</f>
        <v/>
      </c>
      <c r="F469" s="11">
        <f>Raw_Data!F469</f>
        <v/>
      </c>
      <c r="G469" s="11">
        <f>Raw_Data!G469</f>
        <v/>
      </c>
      <c r="H469" s="10">
        <f>Raw_Data!H469</f>
        <v/>
      </c>
      <c r="I469" s="10">
        <f>Raw_Data!I469</f>
        <v/>
      </c>
      <c r="J469" s="11">
        <f>Raw_Data!J469</f>
        <v/>
      </c>
      <c r="K469" s="11">
        <f>Raw_Data!K469</f>
        <v/>
      </c>
      <c r="L469" s="11">
        <f>Raw_Data!L469</f>
        <v/>
      </c>
      <c r="M469" s="10">
        <f>Raw_Data!M469</f>
        <v/>
      </c>
      <c r="N469" s="10">
        <f>Raw_Data!N469</f>
        <v/>
      </c>
      <c r="O469" s="10">
        <f>Raw_Data!O469</f>
        <v/>
      </c>
      <c r="P469" s="11">
        <f>Raw_Data!P469</f>
        <v/>
      </c>
      <c r="R469" s="9">
        <f>IFERROR(Cleaned_Data!M469/Cleaned_Data!K469,0)</f>
        <v/>
      </c>
    </row>
    <row r="470">
      <c r="A470" s="7">
        <f>Raw_Data!A470</f>
        <v/>
      </c>
      <c r="B470" s="8">
        <f>Raw_Data!B470</f>
        <v/>
      </c>
      <c r="C470" s="8">
        <f>Raw_Data!C470</f>
        <v/>
      </c>
      <c r="D470" s="7">
        <f>Raw_Data!D470</f>
        <v/>
      </c>
      <c r="E470" s="7">
        <f>Raw_Data!E470</f>
        <v/>
      </c>
      <c r="F470" s="8">
        <f>Raw_Data!F470</f>
        <v/>
      </c>
      <c r="G470" s="8">
        <f>Raw_Data!G470</f>
        <v/>
      </c>
      <c r="H470" s="7">
        <f>Raw_Data!H470</f>
        <v/>
      </c>
      <c r="I470" s="7">
        <f>Raw_Data!I470</f>
        <v/>
      </c>
      <c r="J470" s="8">
        <f>Raw_Data!J470</f>
        <v/>
      </c>
      <c r="K470" s="8">
        <f>Raw_Data!K470</f>
        <v/>
      </c>
      <c r="L470" s="8">
        <f>Raw_Data!L470</f>
        <v/>
      </c>
      <c r="M470" s="7">
        <f>Raw_Data!M470</f>
        <v/>
      </c>
      <c r="N470" s="7">
        <f>Raw_Data!N470</f>
        <v/>
      </c>
      <c r="O470" s="7">
        <f>Raw_Data!O470</f>
        <v/>
      </c>
      <c r="P470" s="8">
        <f>Raw_Data!P470</f>
        <v/>
      </c>
      <c r="R470" s="9">
        <f>IFERROR(Cleaned_Data!M470/Cleaned_Data!K470,0)</f>
        <v/>
      </c>
    </row>
    <row r="471">
      <c r="A471" s="10">
        <f>Raw_Data!A471</f>
        <v/>
      </c>
      <c r="B471" s="11">
        <f>Raw_Data!B471</f>
        <v/>
      </c>
      <c r="C471" s="11">
        <f>Raw_Data!C471</f>
        <v/>
      </c>
      <c r="D471" s="10">
        <f>Raw_Data!D471</f>
        <v/>
      </c>
      <c r="E471" s="10">
        <f>Raw_Data!E471</f>
        <v/>
      </c>
      <c r="F471" s="11">
        <f>Raw_Data!F471</f>
        <v/>
      </c>
      <c r="G471" s="11">
        <f>Raw_Data!G471</f>
        <v/>
      </c>
      <c r="H471" s="10">
        <f>Raw_Data!H471</f>
        <v/>
      </c>
      <c r="I471" s="10">
        <f>Raw_Data!I471</f>
        <v/>
      </c>
      <c r="J471" s="11">
        <f>Raw_Data!J471</f>
        <v/>
      </c>
      <c r="K471" s="11">
        <f>Raw_Data!K471</f>
        <v/>
      </c>
      <c r="L471" s="11">
        <f>Raw_Data!L471</f>
        <v/>
      </c>
      <c r="M471" s="10">
        <f>Raw_Data!M471</f>
        <v/>
      </c>
      <c r="N471" s="10">
        <f>Raw_Data!N471</f>
        <v/>
      </c>
      <c r="O471" s="10">
        <f>Raw_Data!O471</f>
        <v/>
      </c>
      <c r="P471" s="11">
        <f>Raw_Data!P471</f>
        <v/>
      </c>
      <c r="R471" s="9">
        <f>IFERROR(Cleaned_Data!M471/Cleaned_Data!K471,0)</f>
        <v/>
      </c>
    </row>
    <row r="472">
      <c r="A472" s="7">
        <f>Raw_Data!A472</f>
        <v/>
      </c>
      <c r="B472" s="8">
        <f>Raw_Data!B472</f>
        <v/>
      </c>
      <c r="C472" s="8">
        <f>Raw_Data!C472</f>
        <v/>
      </c>
      <c r="D472" s="7">
        <f>Raw_Data!D472</f>
        <v/>
      </c>
      <c r="E472" s="7">
        <f>Raw_Data!E472</f>
        <v/>
      </c>
      <c r="F472" s="8">
        <f>Raw_Data!F472</f>
        <v/>
      </c>
      <c r="G472" s="8">
        <f>Raw_Data!G472</f>
        <v/>
      </c>
      <c r="H472" s="7">
        <f>Raw_Data!H472</f>
        <v/>
      </c>
      <c r="I472" s="7">
        <f>Raw_Data!I472</f>
        <v/>
      </c>
      <c r="J472" s="8">
        <f>Raw_Data!J472</f>
        <v/>
      </c>
      <c r="K472" s="8">
        <f>Raw_Data!K472</f>
        <v/>
      </c>
      <c r="L472" s="8">
        <f>Raw_Data!L472</f>
        <v/>
      </c>
      <c r="M472" s="7">
        <f>Raw_Data!M472</f>
        <v/>
      </c>
      <c r="N472" s="7">
        <f>Raw_Data!N472</f>
        <v/>
      </c>
      <c r="O472" s="7">
        <f>Raw_Data!O472</f>
        <v/>
      </c>
      <c r="P472" s="8">
        <f>Raw_Data!P472</f>
        <v/>
      </c>
      <c r="R472" s="9">
        <f>IFERROR(Cleaned_Data!M472/Cleaned_Data!K472,0)</f>
        <v/>
      </c>
    </row>
    <row r="473">
      <c r="A473" s="10">
        <f>Raw_Data!A473</f>
        <v/>
      </c>
      <c r="B473" s="11">
        <f>Raw_Data!B473</f>
        <v/>
      </c>
      <c r="C473" s="11">
        <f>Raw_Data!C473</f>
        <v/>
      </c>
      <c r="D473" s="10">
        <f>Raw_Data!D473</f>
        <v/>
      </c>
      <c r="E473" s="10">
        <f>Raw_Data!E473</f>
        <v/>
      </c>
      <c r="F473" s="11">
        <f>Raw_Data!F473</f>
        <v/>
      </c>
      <c r="G473" s="11">
        <f>Raw_Data!G473</f>
        <v/>
      </c>
      <c r="H473" s="10">
        <f>Raw_Data!H473</f>
        <v/>
      </c>
      <c r="I473" s="10">
        <f>Raw_Data!I473</f>
        <v/>
      </c>
      <c r="J473" s="11">
        <f>Raw_Data!J473</f>
        <v/>
      </c>
      <c r="K473" s="11">
        <f>Raw_Data!K473</f>
        <v/>
      </c>
      <c r="L473" s="11">
        <f>Raw_Data!L473</f>
        <v/>
      </c>
      <c r="M473" s="10">
        <f>Raw_Data!M473</f>
        <v/>
      </c>
      <c r="N473" s="10">
        <f>Raw_Data!N473</f>
        <v/>
      </c>
      <c r="O473" s="10">
        <f>Raw_Data!O473</f>
        <v/>
      </c>
      <c r="P473" s="11">
        <f>Raw_Data!P473</f>
        <v/>
      </c>
      <c r="R473" s="9">
        <f>IFERROR(Cleaned_Data!M473/Cleaned_Data!K473,0)</f>
        <v/>
      </c>
    </row>
    <row r="474">
      <c r="A474" s="7">
        <f>Raw_Data!A474</f>
        <v/>
      </c>
      <c r="B474" s="8">
        <f>Raw_Data!B474</f>
        <v/>
      </c>
      <c r="C474" s="8">
        <f>Raw_Data!C474</f>
        <v/>
      </c>
      <c r="D474" s="7">
        <f>Raw_Data!D474</f>
        <v/>
      </c>
      <c r="E474" s="7">
        <f>Raw_Data!E474</f>
        <v/>
      </c>
      <c r="F474" s="8">
        <f>Raw_Data!F474</f>
        <v/>
      </c>
      <c r="G474" s="8">
        <f>Raw_Data!G474</f>
        <v/>
      </c>
      <c r="H474" s="7">
        <f>Raw_Data!H474</f>
        <v/>
      </c>
      <c r="I474" s="7">
        <f>Raw_Data!I474</f>
        <v/>
      </c>
      <c r="J474" s="8">
        <f>Raw_Data!J474</f>
        <v/>
      </c>
      <c r="K474" s="8">
        <f>Raw_Data!K474</f>
        <v/>
      </c>
      <c r="L474" s="8">
        <f>Raw_Data!L474</f>
        <v/>
      </c>
      <c r="M474" s="7">
        <f>Raw_Data!M474</f>
        <v/>
      </c>
      <c r="N474" s="7">
        <f>Raw_Data!N474</f>
        <v/>
      </c>
      <c r="O474" s="7">
        <f>Raw_Data!O474</f>
        <v/>
      </c>
      <c r="P474" s="8">
        <f>Raw_Data!P474</f>
        <v/>
      </c>
      <c r="R474" s="9">
        <f>IFERROR(Cleaned_Data!M474/Cleaned_Data!K474,0)</f>
        <v/>
      </c>
    </row>
    <row r="475">
      <c r="A475" s="10">
        <f>Raw_Data!A475</f>
        <v/>
      </c>
      <c r="B475" s="11">
        <f>Raw_Data!B475</f>
        <v/>
      </c>
      <c r="C475" s="11">
        <f>Raw_Data!C475</f>
        <v/>
      </c>
      <c r="D475" s="10">
        <f>Raw_Data!D475</f>
        <v/>
      </c>
      <c r="E475" s="10">
        <f>Raw_Data!E475</f>
        <v/>
      </c>
      <c r="F475" s="11">
        <f>Raw_Data!F475</f>
        <v/>
      </c>
      <c r="G475" s="11">
        <f>Raw_Data!G475</f>
        <v/>
      </c>
      <c r="H475" s="10">
        <f>Raw_Data!H475</f>
        <v/>
      </c>
      <c r="I475" s="10">
        <f>Raw_Data!I475</f>
        <v/>
      </c>
      <c r="J475" s="11">
        <f>Raw_Data!J475</f>
        <v/>
      </c>
      <c r="K475" s="11">
        <f>Raw_Data!K475</f>
        <v/>
      </c>
      <c r="L475" s="11">
        <f>Raw_Data!L475</f>
        <v/>
      </c>
      <c r="M475" s="10">
        <f>Raw_Data!M475</f>
        <v/>
      </c>
      <c r="N475" s="10">
        <f>Raw_Data!N475</f>
        <v/>
      </c>
      <c r="O475" s="10">
        <f>Raw_Data!O475</f>
        <v/>
      </c>
      <c r="P475" s="11">
        <f>Raw_Data!P475</f>
        <v/>
      </c>
      <c r="R475" s="9">
        <f>IFERROR(Cleaned_Data!M475/Cleaned_Data!K475,0)</f>
        <v/>
      </c>
    </row>
    <row r="476">
      <c r="A476" s="7">
        <f>Raw_Data!A476</f>
        <v/>
      </c>
      <c r="B476" s="8">
        <f>Raw_Data!B476</f>
        <v/>
      </c>
      <c r="C476" s="8">
        <f>Raw_Data!C476</f>
        <v/>
      </c>
      <c r="D476" s="7">
        <f>Raw_Data!D476</f>
        <v/>
      </c>
      <c r="E476" s="7">
        <f>Raw_Data!E476</f>
        <v/>
      </c>
      <c r="F476" s="8">
        <f>Raw_Data!F476</f>
        <v/>
      </c>
      <c r="G476" s="8">
        <f>Raw_Data!G476</f>
        <v/>
      </c>
      <c r="H476" s="7">
        <f>Raw_Data!H476</f>
        <v/>
      </c>
      <c r="I476" s="7">
        <f>Raw_Data!I476</f>
        <v/>
      </c>
      <c r="J476" s="8">
        <f>Raw_Data!J476</f>
        <v/>
      </c>
      <c r="K476" s="8">
        <f>Raw_Data!K476</f>
        <v/>
      </c>
      <c r="L476" s="8">
        <f>Raw_Data!L476</f>
        <v/>
      </c>
      <c r="M476" s="7">
        <f>Raw_Data!M476</f>
        <v/>
      </c>
      <c r="N476" s="7">
        <f>Raw_Data!N476</f>
        <v/>
      </c>
      <c r="O476" s="7">
        <f>Raw_Data!O476</f>
        <v/>
      </c>
      <c r="P476" s="8">
        <f>Raw_Data!P476</f>
        <v/>
      </c>
      <c r="R476" s="9">
        <f>IFERROR(Cleaned_Data!M476/Cleaned_Data!K476,0)</f>
        <v/>
      </c>
    </row>
    <row r="477">
      <c r="A477" s="10">
        <f>Raw_Data!A477</f>
        <v/>
      </c>
      <c r="B477" s="11">
        <f>Raw_Data!B477</f>
        <v/>
      </c>
      <c r="C477" s="11">
        <f>Raw_Data!C477</f>
        <v/>
      </c>
      <c r="D477" s="10">
        <f>Raw_Data!D477</f>
        <v/>
      </c>
      <c r="E477" s="10">
        <f>Raw_Data!E477</f>
        <v/>
      </c>
      <c r="F477" s="11">
        <f>Raw_Data!F477</f>
        <v/>
      </c>
      <c r="G477" s="11">
        <f>Raw_Data!G477</f>
        <v/>
      </c>
      <c r="H477" s="10">
        <f>Raw_Data!H477</f>
        <v/>
      </c>
      <c r="I477" s="10">
        <f>Raw_Data!I477</f>
        <v/>
      </c>
      <c r="J477" s="11">
        <f>Raw_Data!J477</f>
        <v/>
      </c>
      <c r="K477" s="11">
        <f>Raw_Data!K477</f>
        <v/>
      </c>
      <c r="L477" s="11">
        <f>Raw_Data!L477</f>
        <v/>
      </c>
      <c r="M477" s="10">
        <f>Raw_Data!M477</f>
        <v/>
      </c>
      <c r="N477" s="10">
        <f>Raw_Data!N477</f>
        <v/>
      </c>
      <c r="O477" s="10">
        <f>Raw_Data!O477</f>
        <v/>
      </c>
      <c r="P477" s="11">
        <f>Raw_Data!P477</f>
        <v/>
      </c>
      <c r="R477" s="9">
        <f>IFERROR(Cleaned_Data!M477/Cleaned_Data!K477,0)</f>
        <v/>
      </c>
    </row>
    <row r="478">
      <c r="A478" s="7">
        <f>Raw_Data!A478</f>
        <v/>
      </c>
      <c r="B478" s="8">
        <f>Raw_Data!B478</f>
        <v/>
      </c>
      <c r="C478" s="8">
        <f>Raw_Data!C478</f>
        <v/>
      </c>
      <c r="D478" s="7">
        <f>Raw_Data!D478</f>
        <v/>
      </c>
      <c r="E478" s="7">
        <f>Raw_Data!E478</f>
        <v/>
      </c>
      <c r="F478" s="8">
        <f>Raw_Data!F478</f>
        <v/>
      </c>
      <c r="G478" s="8">
        <f>Raw_Data!G478</f>
        <v/>
      </c>
      <c r="H478" s="7">
        <f>Raw_Data!H478</f>
        <v/>
      </c>
      <c r="I478" s="7">
        <f>Raw_Data!I478</f>
        <v/>
      </c>
      <c r="J478" s="8">
        <f>Raw_Data!J478</f>
        <v/>
      </c>
      <c r="K478" s="8">
        <f>Raw_Data!K478</f>
        <v/>
      </c>
      <c r="L478" s="8">
        <f>Raw_Data!L478</f>
        <v/>
      </c>
      <c r="M478" s="7">
        <f>Raw_Data!M478</f>
        <v/>
      </c>
      <c r="N478" s="7">
        <f>Raw_Data!N478</f>
        <v/>
      </c>
      <c r="O478" s="7">
        <f>Raw_Data!O478</f>
        <v/>
      </c>
      <c r="P478" s="8">
        <f>Raw_Data!P478</f>
        <v/>
      </c>
      <c r="R478" s="9">
        <f>IFERROR(Cleaned_Data!M478/Cleaned_Data!K478,0)</f>
        <v/>
      </c>
    </row>
    <row r="479">
      <c r="A479" s="10">
        <f>Raw_Data!A479</f>
        <v/>
      </c>
      <c r="B479" s="11">
        <f>Raw_Data!B479</f>
        <v/>
      </c>
      <c r="C479" s="11">
        <f>Raw_Data!C479</f>
        <v/>
      </c>
      <c r="D479" s="10">
        <f>Raw_Data!D479</f>
        <v/>
      </c>
      <c r="E479" s="10">
        <f>Raw_Data!E479</f>
        <v/>
      </c>
      <c r="F479" s="11">
        <f>Raw_Data!F479</f>
        <v/>
      </c>
      <c r="G479" s="11">
        <f>Raw_Data!G479</f>
        <v/>
      </c>
      <c r="H479" s="10">
        <f>Raw_Data!H479</f>
        <v/>
      </c>
      <c r="I479" s="10">
        <f>Raw_Data!I479</f>
        <v/>
      </c>
      <c r="J479" s="11">
        <f>Raw_Data!J479</f>
        <v/>
      </c>
      <c r="K479" s="11">
        <f>Raw_Data!K479</f>
        <v/>
      </c>
      <c r="L479" s="11">
        <f>Raw_Data!L479</f>
        <v/>
      </c>
      <c r="M479" s="10">
        <f>Raw_Data!M479</f>
        <v/>
      </c>
      <c r="N479" s="10">
        <f>Raw_Data!N479</f>
        <v/>
      </c>
      <c r="O479" s="10">
        <f>Raw_Data!O479</f>
        <v/>
      </c>
      <c r="P479" s="11">
        <f>Raw_Data!P479</f>
        <v/>
      </c>
      <c r="R479" s="9">
        <f>IFERROR(Cleaned_Data!M479/Cleaned_Data!K479,0)</f>
        <v/>
      </c>
    </row>
    <row r="480">
      <c r="A480" s="7">
        <f>Raw_Data!A480</f>
        <v/>
      </c>
      <c r="B480" s="8">
        <f>Raw_Data!B480</f>
        <v/>
      </c>
      <c r="C480" s="8">
        <f>Raw_Data!C480</f>
        <v/>
      </c>
      <c r="D480" s="7">
        <f>Raw_Data!D480</f>
        <v/>
      </c>
      <c r="E480" s="7">
        <f>Raw_Data!E480</f>
        <v/>
      </c>
      <c r="F480" s="8">
        <f>Raw_Data!F480</f>
        <v/>
      </c>
      <c r="G480" s="8">
        <f>Raw_Data!G480</f>
        <v/>
      </c>
      <c r="H480" s="7">
        <f>Raw_Data!H480</f>
        <v/>
      </c>
      <c r="I480" s="7">
        <f>Raw_Data!I480</f>
        <v/>
      </c>
      <c r="J480" s="8">
        <f>Raw_Data!J480</f>
        <v/>
      </c>
      <c r="K480" s="8">
        <f>Raw_Data!K480</f>
        <v/>
      </c>
      <c r="L480" s="8">
        <f>Raw_Data!L480</f>
        <v/>
      </c>
      <c r="M480" s="7">
        <f>Raw_Data!M480</f>
        <v/>
      </c>
      <c r="N480" s="7">
        <f>Raw_Data!N480</f>
        <v/>
      </c>
      <c r="O480" s="7">
        <f>Raw_Data!O480</f>
        <v/>
      </c>
      <c r="P480" s="8">
        <f>Raw_Data!P480</f>
        <v/>
      </c>
      <c r="R480" s="9">
        <f>IFERROR(Cleaned_Data!M480/Cleaned_Data!K480,0)</f>
        <v/>
      </c>
    </row>
    <row r="481">
      <c r="A481" s="10">
        <f>Raw_Data!A481</f>
        <v/>
      </c>
      <c r="B481" s="11">
        <f>Raw_Data!B481</f>
        <v/>
      </c>
      <c r="C481" s="11">
        <f>Raw_Data!C481</f>
        <v/>
      </c>
      <c r="D481" s="10">
        <f>Raw_Data!D481</f>
        <v/>
      </c>
      <c r="E481" s="10">
        <f>Raw_Data!E481</f>
        <v/>
      </c>
      <c r="F481" s="11">
        <f>Raw_Data!F481</f>
        <v/>
      </c>
      <c r="G481" s="11">
        <f>Raw_Data!G481</f>
        <v/>
      </c>
      <c r="H481" s="10">
        <f>Raw_Data!H481</f>
        <v/>
      </c>
      <c r="I481" s="10">
        <f>Raw_Data!I481</f>
        <v/>
      </c>
      <c r="J481" s="11">
        <f>Raw_Data!J481</f>
        <v/>
      </c>
      <c r="K481" s="11">
        <f>Raw_Data!K481</f>
        <v/>
      </c>
      <c r="L481" s="11">
        <f>Raw_Data!L481</f>
        <v/>
      </c>
      <c r="M481" s="10">
        <f>Raw_Data!M481</f>
        <v/>
      </c>
      <c r="N481" s="10">
        <f>Raw_Data!N481</f>
        <v/>
      </c>
      <c r="O481" s="10">
        <f>Raw_Data!O481</f>
        <v/>
      </c>
      <c r="P481" s="11">
        <f>Raw_Data!P481</f>
        <v/>
      </c>
      <c r="R481" s="9">
        <f>IFERROR(Cleaned_Data!M481/Cleaned_Data!K481,0)</f>
        <v/>
      </c>
    </row>
    <row r="482">
      <c r="A482" s="7">
        <f>Raw_Data!A482</f>
        <v/>
      </c>
      <c r="B482" s="8">
        <f>Raw_Data!B482</f>
        <v/>
      </c>
      <c r="C482" s="8">
        <f>Raw_Data!C482</f>
        <v/>
      </c>
      <c r="D482" s="7">
        <f>Raw_Data!D482</f>
        <v/>
      </c>
      <c r="E482" s="7">
        <f>Raw_Data!E482</f>
        <v/>
      </c>
      <c r="F482" s="8">
        <f>Raw_Data!F482</f>
        <v/>
      </c>
      <c r="G482" s="8">
        <f>Raw_Data!G482</f>
        <v/>
      </c>
      <c r="H482" s="7">
        <f>Raw_Data!H482</f>
        <v/>
      </c>
      <c r="I482" s="7">
        <f>Raw_Data!I482</f>
        <v/>
      </c>
      <c r="J482" s="8">
        <f>Raw_Data!J482</f>
        <v/>
      </c>
      <c r="K482" s="8">
        <f>Raw_Data!K482</f>
        <v/>
      </c>
      <c r="L482" s="8">
        <f>Raw_Data!L482</f>
        <v/>
      </c>
      <c r="M482" s="7">
        <f>Raw_Data!M482</f>
        <v/>
      </c>
      <c r="N482" s="7">
        <f>Raw_Data!N482</f>
        <v/>
      </c>
      <c r="O482" s="7">
        <f>Raw_Data!O482</f>
        <v/>
      </c>
      <c r="P482" s="8">
        <f>Raw_Data!P482</f>
        <v/>
      </c>
      <c r="R482" s="9">
        <f>IFERROR(Cleaned_Data!M482/Cleaned_Data!K482,0)</f>
        <v/>
      </c>
    </row>
    <row r="483">
      <c r="A483" s="10">
        <f>Raw_Data!A483</f>
        <v/>
      </c>
      <c r="B483" s="11">
        <f>Raw_Data!B483</f>
        <v/>
      </c>
      <c r="C483" s="11">
        <f>Raw_Data!C483</f>
        <v/>
      </c>
      <c r="D483" s="10">
        <f>Raw_Data!D483</f>
        <v/>
      </c>
      <c r="E483" s="10">
        <f>Raw_Data!E483</f>
        <v/>
      </c>
      <c r="F483" s="11">
        <f>Raw_Data!F483</f>
        <v/>
      </c>
      <c r="G483" s="11">
        <f>Raw_Data!G483</f>
        <v/>
      </c>
      <c r="H483" s="10">
        <f>Raw_Data!H483</f>
        <v/>
      </c>
      <c r="I483" s="10">
        <f>Raw_Data!I483</f>
        <v/>
      </c>
      <c r="J483" s="11">
        <f>Raw_Data!J483</f>
        <v/>
      </c>
      <c r="K483" s="11">
        <f>Raw_Data!K483</f>
        <v/>
      </c>
      <c r="L483" s="11">
        <f>Raw_Data!L483</f>
        <v/>
      </c>
      <c r="M483" s="10">
        <f>Raw_Data!M483</f>
        <v/>
      </c>
      <c r="N483" s="10">
        <f>Raw_Data!N483</f>
        <v/>
      </c>
      <c r="O483" s="10">
        <f>Raw_Data!O483</f>
        <v/>
      </c>
      <c r="P483" s="11">
        <f>Raw_Data!P483</f>
        <v/>
      </c>
      <c r="R483" s="9">
        <f>IFERROR(Cleaned_Data!M483/Cleaned_Data!K483,0)</f>
        <v/>
      </c>
    </row>
    <row r="484">
      <c r="A484" s="7">
        <f>Raw_Data!A484</f>
        <v/>
      </c>
      <c r="B484" s="8">
        <f>Raw_Data!B484</f>
        <v/>
      </c>
      <c r="C484" s="8">
        <f>Raw_Data!C484</f>
        <v/>
      </c>
      <c r="D484" s="7">
        <f>Raw_Data!D484</f>
        <v/>
      </c>
      <c r="E484" s="7">
        <f>Raw_Data!E484</f>
        <v/>
      </c>
      <c r="F484" s="8">
        <f>Raw_Data!F484</f>
        <v/>
      </c>
      <c r="G484" s="8">
        <f>Raw_Data!G484</f>
        <v/>
      </c>
      <c r="H484" s="7">
        <f>Raw_Data!H484</f>
        <v/>
      </c>
      <c r="I484" s="7">
        <f>Raw_Data!I484</f>
        <v/>
      </c>
      <c r="J484" s="8">
        <f>Raw_Data!J484</f>
        <v/>
      </c>
      <c r="K484" s="8">
        <f>Raw_Data!K484</f>
        <v/>
      </c>
      <c r="L484" s="8">
        <f>Raw_Data!L484</f>
        <v/>
      </c>
      <c r="M484" s="7">
        <f>Raw_Data!M484</f>
        <v/>
      </c>
      <c r="N484" s="7">
        <f>Raw_Data!N484</f>
        <v/>
      </c>
      <c r="O484" s="7">
        <f>Raw_Data!O484</f>
        <v/>
      </c>
      <c r="P484" s="8">
        <f>Raw_Data!P484</f>
        <v/>
      </c>
      <c r="R484" s="9">
        <f>IFERROR(Cleaned_Data!M484/Cleaned_Data!K484,0)</f>
        <v/>
      </c>
    </row>
    <row r="485">
      <c r="A485" s="10">
        <f>Raw_Data!A485</f>
        <v/>
      </c>
      <c r="B485" s="11">
        <f>Raw_Data!B485</f>
        <v/>
      </c>
      <c r="C485" s="11">
        <f>Raw_Data!C485</f>
        <v/>
      </c>
      <c r="D485" s="10">
        <f>Raw_Data!D485</f>
        <v/>
      </c>
      <c r="E485" s="10">
        <f>Raw_Data!E485</f>
        <v/>
      </c>
      <c r="F485" s="11">
        <f>Raw_Data!F485</f>
        <v/>
      </c>
      <c r="G485" s="11">
        <f>Raw_Data!G485</f>
        <v/>
      </c>
      <c r="H485" s="10">
        <f>Raw_Data!H485</f>
        <v/>
      </c>
      <c r="I485" s="10">
        <f>Raw_Data!I485</f>
        <v/>
      </c>
      <c r="J485" s="11">
        <f>Raw_Data!J485</f>
        <v/>
      </c>
      <c r="K485" s="11">
        <f>Raw_Data!K485</f>
        <v/>
      </c>
      <c r="L485" s="11">
        <f>Raw_Data!L485</f>
        <v/>
      </c>
      <c r="M485" s="10">
        <f>Raw_Data!M485</f>
        <v/>
      </c>
      <c r="N485" s="10">
        <f>Raw_Data!N485</f>
        <v/>
      </c>
      <c r="O485" s="10">
        <f>Raw_Data!O485</f>
        <v/>
      </c>
      <c r="P485" s="11">
        <f>Raw_Data!P485</f>
        <v/>
      </c>
      <c r="R485" s="9">
        <f>IFERROR(Cleaned_Data!M485/Cleaned_Data!K485,0)</f>
        <v/>
      </c>
    </row>
    <row r="486">
      <c r="A486" s="7">
        <f>Raw_Data!A486</f>
        <v/>
      </c>
      <c r="B486" s="8">
        <f>Raw_Data!B486</f>
        <v/>
      </c>
      <c r="C486" s="8">
        <f>Raw_Data!C486</f>
        <v/>
      </c>
      <c r="D486" s="7">
        <f>Raw_Data!D486</f>
        <v/>
      </c>
      <c r="E486" s="7">
        <f>Raw_Data!E486</f>
        <v/>
      </c>
      <c r="F486" s="8">
        <f>Raw_Data!F486</f>
        <v/>
      </c>
      <c r="G486" s="8">
        <f>Raw_Data!G486</f>
        <v/>
      </c>
      <c r="H486" s="7">
        <f>Raw_Data!H486</f>
        <v/>
      </c>
      <c r="I486" s="7">
        <f>Raw_Data!I486</f>
        <v/>
      </c>
      <c r="J486" s="8">
        <f>Raw_Data!J486</f>
        <v/>
      </c>
      <c r="K486" s="8">
        <f>Raw_Data!K486</f>
        <v/>
      </c>
      <c r="L486" s="8">
        <f>Raw_Data!L486</f>
        <v/>
      </c>
      <c r="M486" s="7">
        <f>Raw_Data!M486</f>
        <v/>
      </c>
      <c r="N486" s="7">
        <f>Raw_Data!N486</f>
        <v/>
      </c>
      <c r="O486" s="7">
        <f>Raw_Data!O486</f>
        <v/>
      </c>
      <c r="P486" s="8">
        <f>Raw_Data!P486</f>
        <v/>
      </c>
      <c r="R486" s="9">
        <f>IFERROR(Cleaned_Data!M486/Cleaned_Data!K486,0)</f>
        <v/>
      </c>
    </row>
    <row r="487">
      <c r="A487" s="10">
        <f>Raw_Data!A487</f>
        <v/>
      </c>
      <c r="B487" s="11">
        <f>Raw_Data!B487</f>
        <v/>
      </c>
      <c r="C487" s="11">
        <f>Raw_Data!C487</f>
        <v/>
      </c>
      <c r="D487" s="10">
        <f>Raw_Data!D487</f>
        <v/>
      </c>
      <c r="E487" s="10">
        <f>Raw_Data!E487</f>
        <v/>
      </c>
      <c r="F487" s="11">
        <f>Raw_Data!F487</f>
        <v/>
      </c>
      <c r="G487" s="11">
        <f>Raw_Data!G487</f>
        <v/>
      </c>
      <c r="H487" s="10">
        <f>Raw_Data!H487</f>
        <v/>
      </c>
      <c r="I487" s="10">
        <f>Raw_Data!I487</f>
        <v/>
      </c>
      <c r="J487" s="11">
        <f>Raw_Data!J487</f>
        <v/>
      </c>
      <c r="K487" s="11">
        <f>Raw_Data!K487</f>
        <v/>
      </c>
      <c r="L487" s="11">
        <f>Raw_Data!L487</f>
        <v/>
      </c>
      <c r="M487" s="10">
        <f>Raw_Data!M487</f>
        <v/>
      </c>
      <c r="N487" s="10">
        <f>Raw_Data!N487</f>
        <v/>
      </c>
      <c r="O487" s="10">
        <f>Raw_Data!O487</f>
        <v/>
      </c>
      <c r="P487" s="11">
        <f>Raw_Data!P487</f>
        <v/>
      </c>
      <c r="R487" s="9">
        <f>IFERROR(Cleaned_Data!M487/Cleaned_Data!K487,0)</f>
        <v/>
      </c>
    </row>
    <row r="488">
      <c r="A488" s="7">
        <f>Raw_Data!A488</f>
        <v/>
      </c>
      <c r="B488" s="8">
        <f>Raw_Data!B488</f>
        <v/>
      </c>
      <c r="C488" s="8">
        <f>Raw_Data!C488</f>
        <v/>
      </c>
      <c r="D488" s="7">
        <f>Raw_Data!D488</f>
        <v/>
      </c>
      <c r="E488" s="7">
        <f>Raw_Data!E488</f>
        <v/>
      </c>
      <c r="F488" s="8">
        <f>Raw_Data!F488</f>
        <v/>
      </c>
      <c r="G488" s="8">
        <f>Raw_Data!G488</f>
        <v/>
      </c>
      <c r="H488" s="7">
        <f>Raw_Data!H488</f>
        <v/>
      </c>
      <c r="I488" s="7">
        <f>Raw_Data!I488</f>
        <v/>
      </c>
      <c r="J488" s="8">
        <f>Raw_Data!J488</f>
        <v/>
      </c>
      <c r="K488" s="8">
        <f>Raw_Data!K488</f>
        <v/>
      </c>
      <c r="L488" s="8">
        <f>Raw_Data!L488</f>
        <v/>
      </c>
      <c r="M488" s="7">
        <f>Raw_Data!M488</f>
        <v/>
      </c>
      <c r="N488" s="7">
        <f>Raw_Data!N488</f>
        <v/>
      </c>
      <c r="O488" s="7">
        <f>Raw_Data!O488</f>
        <v/>
      </c>
      <c r="P488" s="8">
        <f>Raw_Data!P488</f>
        <v/>
      </c>
      <c r="R488" s="9">
        <f>IFERROR(Cleaned_Data!M488/Cleaned_Data!K488,0)</f>
        <v/>
      </c>
    </row>
    <row r="489">
      <c r="A489" s="10">
        <f>Raw_Data!A489</f>
        <v/>
      </c>
      <c r="B489" s="11">
        <f>Raw_Data!B489</f>
        <v/>
      </c>
      <c r="C489" s="11">
        <f>Raw_Data!C489</f>
        <v/>
      </c>
      <c r="D489" s="10">
        <f>Raw_Data!D489</f>
        <v/>
      </c>
      <c r="E489" s="10">
        <f>Raw_Data!E489</f>
        <v/>
      </c>
      <c r="F489" s="11">
        <f>Raw_Data!F489</f>
        <v/>
      </c>
      <c r="G489" s="11">
        <f>Raw_Data!G489</f>
        <v/>
      </c>
      <c r="H489" s="10">
        <f>Raw_Data!H489</f>
        <v/>
      </c>
      <c r="I489" s="10">
        <f>Raw_Data!I489</f>
        <v/>
      </c>
      <c r="J489" s="11">
        <f>Raw_Data!J489</f>
        <v/>
      </c>
      <c r="K489" s="11">
        <f>Raw_Data!K489</f>
        <v/>
      </c>
      <c r="L489" s="11">
        <f>Raw_Data!L489</f>
        <v/>
      </c>
      <c r="M489" s="10">
        <f>Raw_Data!M489</f>
        <v/>
      </c>
      <c r="N489" s="10">
        <f>Raw_Data!N489</f>
        <v/>
      </c>
      <c r="O489" s="10">
        <f>Raw_Data!O489</f>
        <v/>
      </c>
      <c r="P489" s="11">
        <f>Raw_Data!P489</f>
        <v/>
      </c>
      <c r="R489" s="9">
        <f>IFERROR(Cleaned_Data!M489/Cleaned_Data!K489,0)</f>
        <v/>
      </c>
    </row>
    <row r="490">
      <c r="A490" s="7">
        <f>Raw_Data!A490</f>
        <v/>
      </c>
      <c r="B490" s="8">
        <f>Raw_Data!B490</f>
        <v/>
      </c>
      <c r="C490" s="8">
        <f>Raw_Data!C490</f>
        <v/>
      </c>
      <c r="D490" s="7">
        <f>Raw_Data!D490</f>
        <v/>
      </c>
      <c r="E490" s="7">
        <f>Raw_Data!E490</f>
        <v/>
      </c>
      <c r="F490" s="8">
        <f>Raw_Data!F490</f>
        <v/>
      </c>
      <c r="G490" s="8">
        <f>Raw_Data!G490</f>
        <v/>
      </c>
      <c r="H490" s="7">
        <f>Raw_Data!H490</f>
        <v/>
      </c>
      <c r="I490" s="7">
        <f>Raw_Data!I490</f>
        <v/>
      </c>
      <c r="J490" s="8">
        <f>Raw_Data!J490</f>
        <v/>
      </c>
      <c r="K490" s="8">
        <f>Raw_Data!K490</f>
        <v/>
      </c>
      <c r="L490" s="8">
        <f>Raw_Data!L490</f>
        <v/>
      </c>
      <c r="M490" s="7">
        <f>Raw_Data!M490</f>
        <v/>
      </c>
      <c r="N490" s="7">
        <f>Raw_Data!N490</f>
        <v/>
      </c>
      <c r="O490" s="7">
        <f>Raw_Data!O490</f>
        <v/>
      </c>
      <c r="P490" s="8">
        <f>Raw_Data!P490</f>
        <v/>
      </c>
      <c r="R490" s="9">
        <f>IFERROR(Cleaned_Data!M490/Cleaned_Data!K490,0)</f>
        <v/>
      </c>
    </row>
    <row r="491">
      <c r="A491" s="10">
        <f>Raw_Data!A491</f>
        <v/>
      </c>
      <c r="B491" s="11">
        <f>Raw_Data!B491</f>
        <v/>
      </c>
      <c r="C491" s="11">
        <f>Raw_Data!C491</f>
        <v/>
      </c>
      <c r="D491" s="10">
        <f>Raw_Data!D491</f>
        <v/>
      </c>
      <c r="E491" s="10">
        <f>Raw_Data!E491</f>
        <v/>
      </c>
      <c r="F491" s="11">
        <f>Raw_Data!F491</f>
        <v/>
      </c>
      <c r="G491" s="11">
        <f>Raw_Data!G491</f>
        <v/>
      </c>
      <c r="H491" s="10">
        <f>Raw_Data!H491</f>
        <v/>
      </c>
      <c r="I491" s="10">
        <f>Raw_Data!I491</f>
        <v/>
      </c>
      <c r="J491" s="11">
        <f>Raw_Data!J491</f>
        <v/>
      </c>
      <c r="K491" s="11">
        <f>Raw_Data!K491</f>
        <v/>
      </c>
      <c r="L491" s="11">
        <f>Raw_Data!L491</f>
        <v/>
      </c>
      <c r="M491" s="10">
        <f>Raw_Data!M491</f>
        <v/>
      </c>
      <c r="N491" s="10">
        <f>Raw_Data!N491</f>
        <v/>
      </c>
      <c r="O491" s="10">
        <f>Raw_Data!O491</f>
        <v/>
      </c>
      <c r="P491" s="11">
        <f>Raw_Data!P491</f>
        <v/>
      </c>
      <c r="R491" s="9">
        <f>IFERROR(Cleaned_Data!M491/Cleaned_Data!K491,0)</f>
        <v/>
      </c>
    </row>
    <row r="492">
      <c r="A492" s="7">
        <f>Raw_Data!A492</f>
        <v/>
      </c>
      <c r="B492" s="8">
        <f>Raw_Data!B492</f>
        <v/>
      </c>
      <c r="C492" s="8">
        <f>Raw_Data!C492</f>
        <v/>
      </c>
      <c r="D492" s="7">
        <f>Raw_Data!D492</f>
        <v/>
      </c>
      <c r="E492" s="7">
        <f>Raw_Data!E492</f>
        <v/>
      </c>
      <c r="F492" s="8">
        <f>Raw_Data!F492</f>
        <v/>
      </c>
      <c r="G492" s="8">
        <f>Raw_Data!G492</f>
        <v/>
      </c>
      <c r="H492" s="7">
        <f>Raw_Data!H492</f>
        <v/>
      </c>
      <c r="I492" s="7">
        <f>Raw_Data!I492</f>
        <v/>
      </c>
      <c r="J492" s="8">
        <f>Raw_Data!J492</f>
        <v/>
      </c>
      <c r="K492" s="8">
        <f>Raw_Data!K492</f>
        <v/>
      </c>
      <c r="L492" s="8">
        <f>Raw_Data!L492</f>
        <v/>
      </c>
      <c r="M492" s="7">
        <f>Raw_Data!M492</f>
        <v/>
      </c>
      <c r="N492" s="7">
        <f>Raw_Data!N492</f>
        <v/>
      </c>
      <c r="O492" s="7">
        <f>Raw_Data!O492</f>
        <v/>
      </c>
      <c r="P492" s="8">
        <f>Raw_Data!P492</f>
        <v/>
      </c>
      <c r="R492" s="9">
        <f>IFERROR(Cleaned_Data!M492/Cleaned_Data!K492,0)</f>
        <v/>
      </c>
    </row>
    <row r="493">
      <c r="A493" s="10">
        <f>Raw_Data!A493</f>
        <v/>
      </c>
      <c r="B493" s="11">
        <f>Raw_Data!B493</f>
        <v/>
      </c>
      <c r="C493" s="11">
        <f>Raw_Data!C493</f>
        <v/>
      </c>
      <c r="D493" s="10">
        <f>Raw_Data!D493</f>
        <v/>
      </c>
      <c r="E493" s="10">
        <f>Raw_Data!E493</f>
        <v/>
      </c>
      <c r="F493" s="11">
        <f>Raw_Data!F493</f>
        <v/>
      </c>
      <c r="G493" s="11">
        <f>Raw_Data!G493</f>
        <v/>
      </c>
      <c r="H493" s="10">
        <f>Raw_Data!H493</f>
        <v/>
      </c>
      <c r="I493" s="10">
        <f>Raw_Data!I493</f>
        <v/>
      </c>
      <c r="J493" s="11">
        <f>Raw_Data!J493</f>
        <v/>
      </c>
      <c r="K493" s="11">
        <f>Raw_Data!K493</f>
        <v/>
      </c>
      <c r="L493" s="11">
        <f>Raw_Data!L493</f>
        <v/>
      </c>
      <c r="M493" s="10">
        <f>Raw_Data!M493</f>
        <v/>
      </c>
      <c r="N493" s="10">
        <f>Raw_Data!N493</f>
        <v/>
      </c>
      <c r="O493" s="10">
        <f>Raw_Data!O493</f>
        <v/>
      </c>
      <c r="P493" s="11">
        <f>Raw_Data!P493</f>
        <v/>
      </c>
      <c r="R493" s="9">
        <f>IFERROR(Cleaned_Data!M493/Cleaned_Data!K493,0)</f>
        <v/>
      </c>
    </row>
    <row r="494">
      <c r="A494" s="7">
        <f>Raw_Data!A494</f>
        <v/>
      </c>
      <c r="B494" s="8">
        <f>Raw_Data!B494</f>
        <v/>
      </c>
      <c r="C494" s="8">
        <f>Raw_Data!C494</f>
        <v/>
      </c>
      <c r="D494" s="7">
        <f>Raw_Data!D494</f>
        <v/>
      </c>
      <c r="E494" s="7">
        <f>Raw_Data!E494</f>
        <v/>
      </c>
      <c r="F494" s="8">
        <f>Raw_Data!F494</f>
        <v/>
      </c>
      <c r="G494" s="8">
        <f>Raw_Data!G494</f>
        <v/>
      </c>
      <c r="H494" s="7">
        <f>Raw_Data!H494</f>
        <v/>
      </c>
      <c r="I494" s="7">
        <f>Raw_Data!I494</f>
        <v/>
      </c>
      <c r="J494" s="8">
        <f>Raw_Data!J494</f>
        <v/>
      </c>
      <c r="K494" s="8">
        <f>Raw_Data!K494</f>
        <v/>
      </c>
      <c r="L494" s="8">
        <f>Raw_Data!L494</f>
        <v/>
      </c>
      <c r="M494" s="7">
        <f>Raw_Data!M494</f>
        <v/>
      </c>
      <c r="N494" s="7">
        <f>Raw_Data!N494</f>
        <v/>
      </c>
      <c r="O494" s="7">
        <f>Raw_Data!O494</f>
        <v/>
      </c>
      <c r="P494" s="8">
        <f>Raw_Data!P494</f>
        <v/>
      </c>
      <c r="R494" s="9">
        <f>IFERROR(Cleaned_Data!M494/Cleaned_Data!K494,0)</f>
        <v/>
      </c>
    </row>
    <row r="495">
      <c r="A495" s="10">
        <f>Raw_Data!A495</f>
        <v/>
      </c>
      <c r="B495" s="11">
        <f>Raw_Data!B495</f>
        <v/>
      </c>
      <c r="C495" s="11">
        <f>Raw_Data!C495</f>
        <v/>
      </c>
      <c r="D495" s="10">
        <f>Raw_Data!D495</f>
        <v/>
      </c>
      <c r="E495" s="10">
        <f>Raw_Data!E495</f>
        <v/>
      </c>
      <c r="F495" s="11">
        <f>Raw_Data!F495</f>
        <v/>
      </c>
      <c r="G495" s="11">
        <f>Raw_Data!G495</f>
        <v/>
      </c>
      <c r="H495" s="10">
        <f>Raw_Data!H495</f>
        <v/>
      </c>
      <c r="I495" s="10">
        <f>Raw_Data!I495</f>
        <v/>
      </c>
      <c r="J495" s="11">
        <f>Raw_Data!J495</f>
        <v/>
      </c>
      <c r="K495" s="11">
        <f>Raw_Data!K495</f>
        <v/>
      </c>
      <c r="L495" s="11">
        <f>Raw_Data!L495</f>
        <v/>
      </c>
      <c r="M495" s="10">
        <f>Raw_Data!M495</f>
        <v/>
      </c>
      <c r="N495" s="10">
        <f>Raw_Data!N495</f>
        <v/>
      </c>
      <c r="O495" s="10">
        <f>Raw_Data!O495</f>
        <v/>
      </c>
      <c r="P495" s="11">
        <f>Raw_Data!P495</f>
        <v/>
      </c>
      <c r="R495" s="9">
        <f>IFERROR(Cleaned_Data!M495/Cleaned_Data!K495,0)</f>
        <v/>
      </c>
    </row>
    <row r="496">
      <c r="A496" s="7">
        <f>Raw_Data!A496</f>
        <v/>
      </c>
      <c r="B496" s="8">
        <f>Raw_Data!B496</f>
        <v/>
      </c>
      <c r="C496" s="8">
        <f>Raw_Data!C496</f>
        <v/>
      </c>
      <c r="D496" s="7">
        <f>Raw_Data!D496</f>
        <v/>
      </c>
      <c r="E496" s="7">
        <f>Raw_Data!E496</f>
        <v/>
      </c>
      <c r="F496" s="8">
        <f>Raw_Data!F496</f>
        <v/>
      </c>
      <c r="G496" s="8">
        <f>Raw_Data!G496</f>
        <v/>
      </c>
      <c r="H496" s="7">
        <f>Raw_Data!H496</f>
        <v/>
      </c>
      <c r="I496" s="7">
        <f>Raw_Data!I496</f>
        <v/>
      </c>
      <c r="J496" s="8">
        <f>Raw_Data!J496</f>
        <v/>
      </c>
      <c r="K496" s="8">
        <f>Raw_Data!K496</f>
        <v/>
      </c>
      <c r="L496" s="8">
        <f>Raw_Data!L496</f>
        <v/>
      </c>
      <c r="M496" s="7">
        <f>Raw_Data!M496</f>
        <v/>
      </c>
      <c r="N496" s="7">
        <f>Raw_Data!N496</f>
        <v/>
      </c>
      <c r="O496" s="7">
        <f>Raw_Data!O496</f>
        <v/>
      </c>
      <c r="P496" s="8">
        <f>Raw_Data!P496</f>
        <v/>
      </c>
      <c r="R496" s="9">
        <f>IFERROR(Cleaned_Data!M496/Cleaned_Data!K496,0)</f>
        <v/>
      </c>
    </row>
    <row r="497">
      <c r="A497" s="10">
        <f>Raw_Data!A497</f>
        <v/>
      </c>
      <c r="B497" s="11">
        <f>Raw_Data!B497</f>
        <v/>
      </c>
      <c r="C497" s="11">
        <f>Raw_Data!C497</f>
        <v/>
      </c>
      <c r="D497" s="10">
        <f>Raw_Data!D497</f>
        <v/>
      </c>
      <c r="E497" s="10">
        <f>Raw_Data!E497</f>
        <v/>
      </c>
      <c r="F497" s="11">
        <f>Raw_Data!F497</f>
        <v/>
      </c>
      <c r="G497" s="11">
        <f>Raw_Data!G497</f>
        <v/>
      </c>
      <c r="H497" s="10">
        <f>Raw_Data!H497</f>
        <v/>
      </c>
      <c r="I497" s="10">
        <f>Raw_Data!I497</f>
        <v/>
      </c>
      <c r="J497" s="11">
        <f>Raw_Data!J497</f>
        <v/>
      </c>
      <c r="K497" s="11">
        <f>Raw_Data!K497</f>
        <v/>
      </c>
      <c r="L497" s="11">
        <f>Raw_Data!L497</f>
        <v/>
      </c>
      <c r="M497" s="10">
        <f>Raw_Data!M497</f>
        <v/>
      </c>
      <c r="N497" s="10">
        <f>Raw_Data!N497</f>
        <v/>
      </c>
      <c r="O497" s="10">
        <f>Raw_Data!O497</f>
        <v/>
      </c>
      <c r="P497" s="11">
        <f>Raw_Data!P497</f>
        <v/>
      </c>
      <c r="R497" s="9">
        <f>IFERROR(Cleaned_Data!M497/Cleaned_Data!K497,0)</f>
        <v/>
      </c>
    </row>
    <row r="498">
      <c r="A498" s="7">
        <f>Raw_Data!A498</f>
        <v/>
      </c>
      <c r="B498" s="8">
        <f>Raw_Data!B498</f>
        <v/>
      </c>
      <c r="C498" s="8">
        <f>Raw_Data!C498</f>
        <v/>
      </c>
      <c r="D498" s="7">
        <f>Raw_Data!D498</f>
        <v/>
      </c>
      <c r="E498" s="7">
        <f>Raw_Data!E498</f>
        <v/>
      </c>
      <c r="F498" s="8">
        <f>Raw_Data!F498</f>
        <v/>
      </c>
      <c r="G498" s="8">
        <f>Raw_Data!G498</f>
        <v/>
      </c>
      <c r="H498" s="7">
        <f>Raw_Data!H498</f>
        <v/>
      </c>
      <c r="I498" s="7">
        <f>Raw_Data!I498</f>
        <v/>
      </c>
      <c r="J498" s="8">
        <f>Raw_Data!J498</f>
        <v/>
      </c>
      <c r="K498" s="8">
        <f>Raw_Data!K498</f>
        <v/>
      </c>
      <c r="L498" s="8">
        <f>Raw_Data!L498</f>
        <v/>
      </c>
      <c r="M498" s="7">
        <f>Raw_Data!M498</f>
        <v/>
      </c>
      <c r="N498" s="7">
        <f>Raw_Data!N498</f>
        <v/>
      </c>
      <c r="O498" s="7">
        <f>Raw_Data!O498</f>
        <v/>
      </c>
      <c r="P498" s="8">
        <f>Raw_Data!P498</f>
        <v/>
      </c>
      <c r="R498" s="9">
        <f>IFERROR(Cleaned_Data!M498/Cleaned_Data!K498,0)</f>
        <v/>
      </c>
    </row>
    <row r="499">
      <c r="A499" s="10">
        <f>Raw_Data!A499</f>
        <v/>
      </c>
      <c r="B499" s="11">
        <f>Raw_Data!B499</f>
        <v/>
      </c>
      <c r="C499" s="11">
        <f>Raw_Data!C499</f>
        <v/>
      </c>
      <c r="D499" s="10">
        <f>Raw_Data!D499</f>
        <v/>
      </c>
      <c r="E499" s="10">
        <f>Raw_Data!E499</f>
        <v/>
      </c>
      <c r="F499" s="11">
        <f>Raw_Data!F499</f>
        <v/>
      </c>
      <c r="G499" s="11">
        <f>Raw_Data!G499</f>
        <v/>
      </c>
      <c r="H499" s="10">
        <f>Raw_Data!H499</f>
        <v/>
      </c>
      <c r="I499" s="10">
        <f>Raw_Data!I499</f>
        <v/>
      </c>
      <c r="J499" s="11">
        <f>Raw_Data!J499</f>
        <v/>
      </c>
      <c r="K499" s="11">
        <f>Raw_Data!K499</f>
        <v/>
      </c>
      <c r="L499" s="11">
        <f>Raw_Data!L499</f>
        <v/>
      </c>
      <c r="M499" s="10">
        <f>Raw_Data!M499</f>
        <v/>
      </c>
      <c r="N499" s="10">
        <f>Raw_Data!N499</f>
        <v/>
      </c>
      <c r="O499" s="10">
        <f>Raw_Data!O499</f>
        <v/>
      </c>
      <c r="P499" s="11">
        <f>Raw_Data!P499</f>
        <v/>
      </c>
      <c r="R499" s="9">
        <f>IFERROR(Cleaned_Data!M499/Cleaned_Data!K499,0)</f>
        <v/>
      </c>
    </row>
    <row r="500">
      <c r="A500" s="7">
        <f>Raw_Data!A500</f>
        <v/>
      </c>
      <c r="B500" s="8">
        <f>Raw_Data!B500</f>
        <v/>
      </c>
      <c r="C500" s="8">
        <f>Raw_Data!C500</f>
        <v/>
      </c>
      <c r="D500" s="7">
        <f>Raw_Data!D500</f>
        <v/>
      </c>
      <c r="E500" s="7">
        <f>Raw_Data!E500</f>
        <v/>
      </c>
      <c r="F500" s="8">
        <f>Raw_Data!F500</f>
        <v/>
      </c>
      <c r="G500" s="8">
        <f>Raw_Data!G500</f>
        <v/>
      </c>
      <c r="H500" s="7">
        <f>Raw_Data!H500</f>
        <v/>
      </c>
      <c r="I500" s="7">
        <f>Raw_Data!I500</f>
        <v/>
      </c>
      <c r="J500" s="8">
        <f>Raw_Data!J500</f>
        <v/>
      </c>
      <c r="K500" s="8">
        <f>Raw_Data!K500</f>
        <v/>
      </c>
      <c r="L500" s="8">
        <f>Raw_Data!L500</f>
        <v/>
      </c>
      <c r="M500" s="7">
        <f>Raw_Data!M500</f>
        <v/>
      </c>
      <c r="N500" s="7">
        <f>Raw_Data!N500</f>
        <v/>
      </c>
      <c r="O500" s="7">
        <f>Raw_Data!O500</f>
        <v/>
      </c>
      <c r="P500" s="8">
        <f>Raw_Data!P500</f>
        <v/>
      </c>
      <c r="R500" s="9">
        <f>IFERROR(Cleaned_Data!M500/Cleaned_Data!K500,0)</f>
        <v/>
      </c>
    </row>
    <row r="501">
      <c r="A501" s="10">
        <f>Raw_Data!A501</f>
        <v/>
      </c>
      <c r="B501" s="11">
        <f>Raw_Data!B501</f>
        <v/>
      </c>
      <c r="C501" s="11">
        <f>Raw_Data!C501</f>
        <v/>
      </c>
      <c r="D501" s="10">
        <f>Raw_Data!D501</f>
        <v/>
      </c>
      <c r="E501" s="10">
        <f>Raw_Data!E501</f>
        <v/>
      </c>
      <c r="F501" s="11">
        <f>Raw_Data!F501</f>
        <v/>
      </c>
      <c r="G501" s="11">
        <f>Raw_Data!G501</f>
        <v/>
      </c>
      <c r="H501" s="10">
        <f>Raw_Data!H501</f>
        <v/>
      </c>
      <c r="I501" s="10">
        <f>Raw_Data!I501</f>
        <v/>
      </c>
      <c r="J501" s="11">
        <f>Raw_Data!J501</f>
        <v/>
      </c>
      <c r="K501" s="11">
        <f>Raw_Data!K501</f>
        <v/>
      </c>
      <c r="L501" s="11">
        <f>Raw_Data!L501</f>
        <v/>
      </c>
      <c r="M501" s="10">
        <f>Raw_Data!M501</f>
        <v/>
      </c>
      <c r="N501" s="10">
        <f>Raw_Data!N501</f>
        <v/>
      </c>
      <c r="O501" s="10">
        <f>Raw_Data!O501</f>
        <v/>
      </c>
      <c r="P501" s="11">
        <f>Raw_Data!P501</f>
        <v/>
      </c>
      <c r="R501" s="9">
        <f>IFERROR(Cleaned_Data!M501/Cleaned_Data!K501,0)</f>
        <v/>
      </c>
    </row>
    <row r="502">
      <c r="A502" s="7">
        <f>Raw_Data!A502</f>
        <v/>
      </c>
      <c r="B502" s="8">
        <f>Raw_Data!B502</f>
        <v/>
      </c>
      <c r="C502" s="8">
        <f>Raw_Data!C502</f>
        <v/>
      </c>
      <c r="D502" s="7">
        <f>Raw_Data!D502</f>
        <v/>
      </c>
      <c r="E502" s="7">
        <f>Raw_Data!E502</f>
        <v/>
      </c>
      <c r="F502" s="8">
        <f>Raw_Data!F502</f>
        <v/>
      </c>
      <c r="G502" s="8">
        <f>Raw_Data!G502</f>
        <v/>
      </c>
      <c r="H502" s="7">
        <f>Raw_Data!H502</f>
        <v/>
      </c>
      <c r="I502" s="7">
        <f>Raw_Data!I502</f>
        <v/>
      </c>
      <c r="J502" s="8">
        <f>Raw_Data!J502</f>
        <v/>
      </c>
      <c r="K502" s="8">
        <f>Raw_Data!K502</f>
        <v/>
      </c>
      <c r="L502" s="8">
        <f>Raw_Data!L502</f>
        <v/>
      </c>
      <c r="M502" s="7">
        <f>Raw_Data!M502</f>
        <v/>
      </c>
      <c r="N502" s="7">
        <f>Raw_Data!N502</f>
        <v/>
      </c>
      <c r="O502" s="7">
        <f>Raw_Data!O502</f>
        <v/>
      </c>
      <c r="P502" s="8">
        <f>Raw_Data!P502</f>
        <v/>
      </c>
      <c r="R502" s="9">
        <f>IFERROR(Cleaned_Data!M502/Cleaned_Data!K502,0)</f>
        <v/>
      </c>
    </row>
    <row r="503">
      <c r="A503" s="10">
        <f>Raw_Data!A503</f>
        <v/>
      </c>
      <c r="B503" s="11">
        <f>Raw_Data!B503</f>
        <v/>
      </c>
      <c r="C503" s="11">
        <f>Raw_Data!C503</f>
        <v/>
      </c>
      <c r="D503" s="10">
        <f>Raw_Data!D503</f>
        <v/>
      </c>
      <c r="E503" s="10">
        <f>Raw_Data!E503</f>
        <v/>
      </c>
      <c r="F503" s="11">
        <f>Raw_Data!F503</f>
        <v/>
      </c>
      <c r="G503" s="11">
        <f>Raw_Data!G503</f>
        <v/>
      </c>
      <c r="H503" s="10">
        <f>Raw_Data!H503</f>
        <v/>
      </c>
      <c r="I503" s="10">
        <f>Raw_Data!I503</f>
        <v/>
      </c>
      <c r="J503" s="11">
        <f>Raw_Data!J503</f>
        <v/>
      </c>
      <c r="K503" s="11">
        <f>Raw_Data!K503</f>
        <v/>
      </c>
      <c r="L503" s="11">
        <f>Raw_Data!L503</f>
        <v/>
      </c>
      <c r="M503" s="10">
        <f>Raw_Data!M503</f>
        <v/>
      </c>
      <c r="N503" s="10">
        <f>Raw_Data!N503</f>
        <v/>
      </c>
      <c r="O503" s="10">
        <f>Raw_Data!O503</f>
        <v/>
      </c>
      <c r="P503" s="11">
        <f>Raw_Data!P503</f>
        <v/>
      </c>
      <c r="R503" s="9">
        <f>IFERROR(Cleaned_Data!M503/Cleaned_Data!K503,0)</f>
        <v/>
      </c>
    </row>
    <row r="504">
      <c r="A504" s="7">
        <f>Raw_Data!A504</f>
        <v/>
      </c>
      <c r="B504" s="8">
        <f>Raw_Data!B504</f>
        <v/>
      </c>
      <c r="C504" s="8">
        <f>Raw_Data!C504</f>
        <v/>
      </c>
      <c r="D504" s="7">
        <f>Raw_Data!D504</f>
        <v/>
      </c>
      <c r="E504" s="7">
        <f>Raw_Data!E504</f>
        <v/>
      </c>
      <c r="F504" s="8">
        <f>Raw_Data!F504</f>
        <v/>
      </c>
      <c r="G504" s="8">
        <f>Raw_Data!G504</f>
        <v/>
      </c>
      <c r="H504" s="7">
        <f>Raw_Data!H504</f>
        <v/>
      </c>
      <c r="I504" s="7">
        <f>Raw_Data!I504</f>
        <v/>
      </c>
      <c r="J504" s="8">
        <f>Raw_Data!J504</f>
        <v/>
      </c>
      <c r="K504" s="8">
        <f>Raw_Data!K504</f>
        <v/>
      </c>
      <c r="L504" s="8">
        <f>Raw_Data!L504</f>
        <v/>
      </c>
      <c r="M504" s="7">
        <f>Raw_Data!M504</f>
        <v/>
      </c>
      <c r="N504" s="7">
        <f>Raw_Data!N504</f>
        <v/>
      </c>
      <c r="O504" s="7">
        <f>Raw_Data!O504</f>
        <v/>
      </c>
      <c r="P504" s="8">
        <f>Raw_Data!P504</f>
        <v/>
      </c>
      <c r="R504" s="9">
        <f>IFERROR(Cleaned_Data!M504/Cleaned_Data!K504,0)</f>
        <v/>
      </c>
    </row>
    <row r="505">
      <c r="A505" s="10">
        <f>Raw_Data!A505</f>
        <v/>
      </c>
      <c r="B505" s="11">
        <f>Raw_Data!B505</f>
        <v/>
      </c>
      <c r="C505" s="11">
        <f>Raw_Data!C505</f>
        <v/>
      </c>
      <c r="D505" s="10">
        <f>Raw_Data!D505</f>
        <v/>
      </c>
      <c r="E505" s="10">
        <f>Raw_Data!E505</f>
        <v/>
      </c>
      <c r="F505" s="11">
        <f>Raw_Data!F505</f>
        <v/>
      </c>
      <c r="G505" s="11">
        <f>Raw_Data!G505</f>
        <v/>
      </c>
      <c r="H505" s="10">
        <f>Raw_Data!H505</f>
        <v/>
      </c>
      <c r="I505" s="10">
        <f>Raw_Data!I505</f>
        <v/>
      </c>
      <c r="J505" s="11">
        <f>Raw_Data!J505</f>
        <v/>
      </c>
      <c r="K505" s="11">
        <f>Raw_Data!K505</f>
        <v/>
      </c>
      <c r="L505" s="11">
        <f>Raw_Data!L505</f>
        <v/>
      </c>
      <c r="M505" s="10">
        <f>Raw_Data!M505</f>
        <v/>
      </c>
      <c r="N505" s="10">
        <f>Raw_Data!N505</f>
        <v/>
      </c>
      <c r="O505" s="10">
        <f>Raw_Data!O505</f>
        <v/>
      </c>
      <c r="P505" s="11">
        <f>Raw_Data!P505</f>
        <v/>
      </c>
      <c r="R505" s="9">
        <f>IFERROR(Cleaned_Data!M505/Cleaned_Data!K505,0)</f>
        <v/>
      </c>
    </row>
    <row r="506">
      <c r="A506" s="7">
        <f>Raw_Data!A506</f>
        <v/>
      </c>
      <c r="B506" s="8">
        <f>Raw_Data!B506</f>
        <v/>
      </c>
      <c r="C506" s="8">
        <f>Raw_Data!C506</f>
        <v/>
      </c>
      <c r="D506" s="7">
        <f>Raw_Data!D506</f>
        <v/>
      </c>
      <c r="E506" s="7">
        <f>Raw_Data!E506</f>
        <v/>
      </c>
      <c r="F506" s="8">
        <f>Raw_Data!F506</f>
        <v/>
      </c>
      <c r="G506" s="8">
        <f>Raw_Data!G506</f>
        <v/>
      </c>
      <c r="H506" s="7">
        <f>Raw_Data!H506</f>
        <v/>
      </c>
      <c r="I506" s="7">
        <f>Raw_Data!I506</f>
        <v/>
      </c>
      <c r="J506" s="8">
        <f>Raw_Data!J506</f>
        <v/>
      </c>
      <c r="K506" s="8">
        <f>Raw_Data!K506</f>
        <v/>
      </c>
      <c r="L506" s="8">
        <f>Raw_Data!L506</f>
        <v/>
      </c>
      <c r="M506" s="7">
        <f>Raw_Data!M506</f>
        <v/>
      </c>
      <c r="N506" s="7">
        <f>Raw_Data!N506</f>
        <v/>
      </c>
      <c r="O506" s="7">
        <f>Raw_Data!O506</f>
        <v/>
      </c>
      <c r="P506" s="8">
        <f>Raw_Data!P506</f>
        <v/>
      </c>
      <c r="R506" s="9">
        <f>IFERROR(Cleaned_Data!M506/Cleaned_Data!K506,0)</f>
        <v/>
      </c>
    </row>
    <row r="507">
      <c r="A507" s="10">
        <f>Raw_Data!A507</f>
        <v/>
      </c>
      <c r="B507" s="11">
        <f>Raw_Data!B507</f>
        <v/>
      </c>
      <c r="C507" s="11">
        <f>Raw_Data!C507</f>
        <v/>
      </c>
      <c r="D507" s="10">
        <f>Raw_Data!D507</f>
        <v/>
      </c>
      <c r="E507" s="10">
        <f>Raw_Data!E507</f>
        <v/>
      </c>
      <c r="F507" s="11">
        <f>Raw_Data!F507</f>
        <v/>
      </c>
      <c r="G507" s="11">
        <f>Raw_Data!G507</f>
        <v/>
      </c>
      <c r="H507" s="10">
        <f>Raw_Data!H507</f>
        <v/>
      </c>
      <c r="I507" s="10">
        <f>Raw_Data!I507</f>
        <v/>
      </c>
      <c r="J507" s="11">
        <f>Raw_Data!J507</f>
        <v/>
      </c>
      <c r="K507" s="11">
        <f>Raw_Data!K507</f>
        <v/>
      </c>
      <c r="L507" s="11">
        <f>Raw_Data!L507</f>
        <v/>
      </c>
      <c r="M507" s="10">
        <f>Raw_Data!M507</f>
        <v/>
      </c>
      <c r="N507" s="10">
        <f>Raw_Data!N507</f>
        <v/>
      </c>
      <c r="O507" s="10">
        <f>Raw_Data!O507</f>
        <v/>
      </c>
      <c r="P507" s="11">
        <f>Raw_Data!P507</f>
        <v/>
      </c>
      <c r="R507" s="9">
        <f>IFERROR(Cleaned_Data!M507/Cleaned_Data!K507,0)</f>
        <v/>
      </c>
    </row>
    <row r="508">
      <c r="A508" s="7">
        <f>Raw_Data!A508</f>
        <v/>
      </c>
      <c r="B508" s="8">
        <f>Raw_Data!B508</f>
        <v/>
      </c>
      <c r="C508" s="8">
        <f>Raw_Data!C508</f>
        <v/>
      </c>
      <c r="D508" s="7">
        <f>Raw_Data!D508</f>
        <v/>
      </c>
      <c r="E508" s="7">
        <f>Raw_Data!E508</f>
        <v/>
      </c>
      <c r="F508" s="8">
        <f>Raw_Data!F508</f>
        <v/>
      </c>
      <c r="G508" s="8">
        <f>Raw_Data!G508</f>
        <v/>
      </c>
      <c r="H508" s="7">
        <f>Raw_Data!H508</f>
        <v/>
      </c>
      <c r="I508" s="7">
        <f>Raw_Data!I508</f>
        <v/>
      </c>
      <c r="J508" s="8">
        <f>Raw_Data!J508</f>
        <v/>
      </c>
      <c r="K508" s="8">
        <f>Raw_Data!K508</f>
        <v/>
      </c>
      <c r="L508" s="8">
        <f>Raw_Data!L508</f>
        <v/>
      </c>
      <c r="M508" s="7">
        <f>Raw_Data!M508</f>
        <v/>
      </c>
      <c r="N508" s="7">
        <f>Raw_Data!N508</f>
        <v/>
      </c>
      <c r="O508" s="7">
        <f>Raw_Data!O508</f>
        <v/>
      </c>
      <c r="P508" s="8">
        <f>Raw_Data!P508</f>
        <v/>
      </c>
      <c r="R508" s="9">
        <f>IFERROR(Cleaned_Data!M508/Cleaned_Data!K508,0)</f>
        <v/>
      </c>
    </row>
    <row r="509">
      <c r="A509" s="10">
        <f>Raw_Data!A509</f>
        <v/>
      </c>
      <c r="B509" s="11">
        <f>Raw_Data!B509</f>
        <v/>
      </c>
      <c r="C509" s="11">
        <f>Raw_Data!C509</f>
        <v/>
      </c>
      <c r="D509" s="10">
        <f>Raw_Data!D509</f>
        <v/>
      </c>
      <c r="E509" s="10">
        <f>Raw_Data!E509</f>
        <v/>
      </c>
      <c r="F509" s="11">
        <f>Raw_Data!F509</f>
        <v/>
      </c>
      <c r="G509" s="11">
        <f>Raw_Data!G509</f>
        <v/>
      </c>
      <c r="H509" s="10">
        <f>Raw_Data!H509</f>
        <v/>
      </c>
      <c r="I509" s="10">
        <f>Raw_Data!I509</f>
        <v/>
      </c>
      <c r="J509" s="11">
        <f>Raw_Data!J509</f>
        <v/>
      </c>
      <c r="K509" s="11">
        <f>Raw_Data!K509</f>
        <v/>
      </c>
      <c r="L509" s="11">
        <f>Raw_Data!L509</f>
        <v/>
      </c>
      <c r="M509" s="10">
        <f>Raw_Data!M509</f>
        <v/>
      </c>
      <c r="N509" s="10">
        <f>Raw_Data!N509</f>
        <v/>
      </c>
      <c r="O509" s="10">
        <f>Raw_Data!O509</f>
        <v/>
      </c>
      <c r="P509" s="11">
        <f>Raw_Data!P509</f>
        <v/>
      </c>
      <c r="R509" s="9">
        <f>IFERROR(Cleaned_Data!M509/Cleaned_Data!K509,0)</f>
        <v/>
      </c>
    </row>
    <row r="510">
      <c r="A510" s="7">
        <f>Raw_Data!A510</f>
        <v/>
      </c>
      <c r="B510" s="8">
        <f>Raw_Data!B510</f>
        <v/>
      </c>
      <c r="C510" s="8">
        <f>Raw_Data!C510</f>
        <v/>
      </c>
      <c r="D510" s="7">
        <f>Raw_Data!D510</f>
        <v/>
      </c>
      <c r="E510" s="7">
        <f>Raw_Data!E510</f>
        <v/>
      </c>
      <c r="F510" s="8">
        <f>Raw_Data!F510</f>
        <v/>
      </c>
      <c r="G510" s="8">
        <f>Raw_Data!G510</f>
        <v/>
      </c>
      <c r="H510" s="7">
        <f>Raw_Data!H510</f>
        <v/>
      </c>
      <c r="I510" s="7">
        <f>Raw_Data!I510</f>
        <v/>
      </c>
      <c r="J510" s="8">
        <f>Raw_Data!J510</f>
        <v/>
      </c>
      <c r="K510" s="8">
        <f>Raw_Data!K510</f>
        <v/>
      </c>
      <c r="L510" s="8">
        <f>Raw_Data!L510</f>
        <v/>
      </c>
      <c r="M510" s="7">
        <f>Raw_Data!M510</f>
        <v/>
      </c>
      <c r="N510" s="7">
        <f>Raw_Data!N510</f>
        <v/>
      </c>
      <c r="O510" s="7">
        <f>Raw_Data!O510</f>
        <v/>
      </c>
      <c r="P510" s="8">
        <f>Raw_Data!P510</f>
        <v/>
      </c>
      <c r="R510" s="9">
        <f>IFERROR(Cleaned_Data!M510/Cleaned_Data!K510,0)</f>
        <v/>
      </c>
    </row>
    <row r="511">
      <c r="A511" s="10">
        <f>Raw_Data!A511</f>
        <v/>
      </c>
      <c r="B511" s="11">
        <f>Raw_Data!B511</f>
        <v/>
      </c>
      <c r="C511" s="11">
        <f>Raw_Data!C511</f>
        <v/>
      </c>
      <c r="D511" s="10">
        <f>Raw_Data!D511</f>
        <v/>
      </c>
      <c r="E511" s="10">
        <f>Raw_Data!E511</f>
        <v/>
      </c>
      <c r="F511" s="11">
        <f>Raw_Data!F511</f>
        <v/>
      </c>
      <c r="G511" s="11">
        <f>Raw_Data!G511</f>
        <v/>
      </c>
      <c r="H511" s="10">
        <f>Raw_Data!H511</f>
        <v/>
      </c>
      <c r="I511" s="10">
        <f>Raw_Data!I511</f>
        <v/>
      </c>
      <c r="J511" s="11">
        <f>Raw_Data!J511</f>
        <v/>
      </c>
      <c r="K511" s="11">
        <f>Raw_Data!K511</f>
        <v/>
      </c>
      <c r="L511" s="11">
        <f>Raw_Data!L511</f>
        <v/>
      </c>
      <c r="M511" s="10">
        <f>Raw_Data!M511</f>
        <v/>
      </c>
      <c r="N511" s="10">
        <f>Raw_Data!N511</f>
        <v/>
      </c>
      <c r="O511" s="10">
        <f>Raw_Data!O511</f>
        <v/>
      </c>
      <c r="P511" s="11">
        <f>Raw_Data!P511</f>
        <v/>
      </c>
      <c r="R511" s="9">
        <f>IFERROR(Cleaned_Data!M511/Cleaned_Data!K511,0)</f>
        <v/>
      </c>
    </row>
    <row r="512">
      <c r="A512" s="7">
        <f>Raw_Data!A512</f>
        <v/>
      </c>
      <c r="B512" s="8">
        <f>Raw_Data!B512</f>
        <v/>
      </c>
      <c r="C512" s="8">
        <f>Raw_Data!C512</f>
        <v/>
      </c>
      <c r="D512" s="7">
        <f>Raw_Data!D512</f>
        <v/>
      </c>
      <c r="E512" s="7">
        <f>Raw_Data!E512</f>
        <v/>
      </c>
      <c r="F512" s="8">
        <f>Raw_Data!F512</f>
        <v/>
      </c>
      <c r="G512" s="8">
        <f>Raw_Data!G512</f>
        <v/>
      </c>
      <c r="H512" s="7">
        <f>Raw_Data!H512</f>
        <v/>
      </c>
      <c r="I512" s="7">
        <f>Raw_Data!I512</f>
        <v/>
      </c>
      <c r="J512" s="8">
        <f>Raw_Data!J512</f>
        <v/>
      </c>
      <c r="K512" s="8">
        <f>Raw_Data!K512</f>
        <v/>
      </c>
      <c r="L512" s="8">
        <f>Raw_Data!L512</f>
        <v/>
      </c>
      <c r="M512" s="7">
        <f>Raw_Data!M512</f>
        <v/>
      </c>
      <c r="N512" s="7">
        <f>Raw_Data!N512</f>
        <v/>
      </c>
      <c r="O512" s="7">
        <f>Raw_Data!O512</f>
        <v/>
      </c>
      <c r="P512" s="8">
        <f>Raw_Data!P512</f>
        <v/>
      </c>
      <c r="R512" s="9">
        <f>IFERROR(Cleaned_Data!M512/Cleaned_Data!K512,0)</f>
        <v/>
      </c>
    </row>
    <row r="513">
      <c r="A513" s="10">
        <f>Raw_Data!A513</f>
        <v/>
      </c>
      <c r="B513" s="11">
        <f>Raw_Data!B513</f>
        <v/>
      </c>
      <c r="C513" s="11">
        <f>Raw_Data!C513</f>
        <v/>
      </c>
      <c r="D513" s="10">
        <f>Raw_Data!D513</f>
        <v/>
      </c>
      <c r="E513" s="10">
        <f>Raw_Data!E513</f>
        <v/>
      </c>
      <c r="F513" s="11">
        <f>Raw_Data!F513</f>
        <v/>
      </c>
      <c r="G513" s="11">
        <f>Raw_Data!G513</f>
        <v/>
      </c>
      <c r="H513" s="10">
        <f>Raw_Data!H513</f>
        <v/>
      </c>
      <c r="I513" s="10">
        <f>Raw_Data!I513</f>
        <v/>
      </c>
      <c r="J513" s="11">
        <f>Raw_Data!J513</f>
        <v/>
      </c>
      <c r="K513" s="11">
        <f>Raw_Data!K513</f>
        <v/>
      </c>
      <c r="L513" s="11">
        <f>Raw_Data!L513</f>
        <v/>
      </c>
      <c r="M513" s="10">
        <f>Raw_Data!M513</f>
        <v/>
      </c>
      <c r="N513" s="10">
        <f>Raw_Data!N513</f>
        <v/>
      </c>
      <c r="O513" s="10">
        <f>Raw_Data!O513</f>
        <v/>
      </c>
      <c r="P513" s="11">
        <f>Raw_Data!P513</f>
        <v/>
      </c>
      <c r="R513" s="9">
        <f>IFERROR(Cleaned_Data!M513/Cleaned_Data!K513,0)</f>
        <v/>
      </c>
    </row>
    <row r="514">
      <c r="A514" s="7">
        <f>Raw_Data!A514</f>
        <v/>
      </c>
      <c r="B514" s="8">
        <f>Raw_Data!B514</f>
        <v/>
      </c>
      <c r="C514" s="8">
        <f>Raw_Data!C514</f>
        <v/>
      </c>
      <c r="D514" s="7">
        <f>Raw_Data!D514</f>
        <v/>
      </c>
      <c r="E514" s="7">
        <f>Raw_Data!E514</f>
        <v/>
      </c>
      <c r="F514" s="8">
        <f>Raw_Data!F514</f>
        <v/>
      </c>
      <c r="G514" s="8">
        <f>Raw_Data!G514</f>
        <v/>
      </c>
      <c r="H514" s="7">
        <f>Raw_Data!H514</f>
        <v/>
      </c>
      <c r="I514" s="7">
        <f>Raw_Data!I514</f>
        <v/>
      </c>
      <c r="J514" s="8">
        <f>Raw_Data!J514</f>
        <v/>
      </c>
      <c r="K514" s="8">
        <f>Raw_Data!K514</f>
        <v/>
      </c>
      <c r="L514" s="8">
        <f>Raw_Data!L514</f>
        <v/>
      </c>
      <c r="M514" s="7">
        <f>Raw_Data!M514</f>
        <v/>
      </c>
      <c r="N514" s="7">
        <f>Raw_Data!N514</f>
        <v/>
      </c>
      <c r="O514" s="7">
        <f>Raw_Data!O514</f>
        <v/>
      </c>
      <c r="P514" s="8">
        <f>Raw_Data!P514</f>
        <v/>
      </c>
      <c r="R514" s="9">
        <f>IFERROR(Cleaned_Data!M514/Cleaned_Data!K514,0)</f>
        <v/>
      </c>
    </row>
    <row r="515">
      <c r="A515" s="10">
        <f>Raw_Data!A515</f>
        <v/>
      </c>
      <c r="B515" s="11">
        <f>Raw_Data!B515</f>
        <v/>
      </c>
      <c r="C515" s="11">
        <f>Raw_Data!C515</f>
        <v/>
      </c>
      <c r="D515" s="10">
        <f>Raw_Data!D515</f>
        <v/>
      </c>
      <c r="E515" s="10">
        <f>Raw_Data!E515</f>
        <v/>
      </c>
      <c r="F515" s="11">
        <f>Raw_Data!F515</f>
        <v/>
      </c>
      <c r="G515" s="11">
        <f>Raw_Data!G515</f>
        <v/>
      </c>
      <c r="H515" s="10">
        <f>Raw_Data!H515</f>
        <v/>
      </c>
      <c r="I515" s="10">
        <f>Raw_Data!I515</f>
        <v/>
      </c>
      <c r="J515" s="11">
        <f>Raw_Data!J515</f>
        <v/>
      </c>
      <c r="K515" s="11">
        <f>Raw_Data!K515</f>
        <v/>
      </c>
      <c r="L515" s="11">
        <f>Raw_Data!L515</f>
        <v/>
      </c>
      <c r="M515" s="10">
        <f>Raw_Data!M515</f>
        <v/>
      </c>
      <c r="N515" s="10">
        <f>Raw_Data!N515</f>
        <v/>
      </c>
      <c r="O515" s="10">
        <f>Raw_Data!O515</f>
        <v/>
      </c>
      <c r="P515" s="11">
        <f>Raw_Data!P515</f>
        <v/>
      </c>
      <c r="R515" s="9">
        <f>IFERROR(Cleaned_Data!M515/Cleaned_Data!K515,0)</f>
        <v/>
      </c>
    </row>
    <row r="516">
      <c r="A516" s="7">
        <f>Raw_Data!A516</f>
        <v/>
      </c>
      <c r="B516" s="8">
        <f>Raw_Data!B516</f>
        <v/>
      </c>
      <c r="C516" s="8">
        <f>Raw_Data!C516</f>
        <v/>
      </c>
      <c r="D516" s="7">
        <f>Raw_Data!D516</f>
        <v/>
      </c>
      <c r="E516" s="7">
        <f>Raw_Data!E516</f>
        <v/>
      </c>
      <c r="F516" s="8">
        <f>Raw_Data!F516</f>
        <v/>
      </c>
      <c r="G516" s="8">
        <f>Raw_Data!G516</f>
        <v/>
      </c>
      <c r="H516" s="7">
        <f>Raw_Data!H516</f>
        <v/>
      </c>
      <c r="I516" s="7">
        <f>Raw_Data!I516</f>
        <v/>
      </c>
      <c r="J516" s="8">
        <f>Raw_Data!J516</f>
        <v/>
      </c>
      <c r="K516" s="8">
        <f>Raw_Data!K516</f>
        <v/>
      </c>
      <c r="L516" s="8">
        <f>Raw_Data!L516</f>
        <v/>
      </c>
      <c r="M516" s="7">
        <f>Raw_Data!M516</f>
        <v/>
      </c>
      <c r="N516" s="7">
        <f>Raw_Data!N516</f>
        <v/>
      </c>
      <c r="O516" s="7">
        <f>Raw_Data!O516</f>
        <v/>
      </c>
      <c r="P516" s="8">
        <f>Raw_Data!P516</f>
        <v/>
      </c>
      <c r="R516" s="9">
        <f>IFERROR(Cleaned_Data!M516/Cleaned_Data!K516,0)</f>
        <v/>
      </c>
    </row>
    <row r="517">
      <c r="A517" s="10">
        <f>Raw_Data!A517</f>
        <v/>
      </c>
      <c r="B517" s="11">
        <f>Raw_Data!B517</f>
        <v/>
      </c>
      <c r="C517" s="11">
        <f>Raw_Data!C517</f>
        <v/>
      </c>
      <c r="D517" s="10">
        <f>Raw_Data!D517</f>
        <v/>
      </c>
      <c r="E517" s="10">
        <f>Raw_Data!E517</f>
        <v/>
      </c>
      <c r="F517" s="11">
        <f>Raw_Data!F517</f>
        <v/>
      </c>
      <c r="G517" s="11">
        <f>Raw_Data!G517</f>
        <v/>
      </c>
      <c r="H517" s="10">
        <f>Raw_Data!H517</f>
        <v/>
      </c>
      <c r="I517" s="10">
        <f>Raw_Data!I517</f>
        <v/>
      </c>
      <c r="J517" s="11">
        <f>Raw_Data!J517</f>
        <v/>
      </c>
      <c r="K517" s="11">
        <f>Raw_Data!K517</f>
        <v/>
      </c>
      <c r="L517" s="11">
        <f>Raw_Data!L517</f>
        <v/>
      </c>
      <c r="M517" s="10">
        <f>Raw_Data!M517</f>
        <v/>
      </c>
      <c r="N517" s="10">
        <f>Raw_Data!N517</f>
        <v/>
      </c>
      <c r="O517" s="10">
        <f>Raw_Data!O517</f>
        <v/>
      </c>
      <c r="P517" s="11">
        <f>Raw_Data!P517</f>
        <v/>
      </c>
      <c r="R517" s="9">
        <f>IFERROR(Cleaned_Data!M517/Cleaned_Data!K517,0)</f>
        <v/>
      </c>
    </row>
    <row r="518">
      <c r="A518" s="7">
        <f>Raw_Data!A518</f>
        <v/>
      </c>
      <c r="B518" s="8">
        <f>Raw_Data!B518</f>
        <v/>
      </c>
      <c r="C518" s="8">
        <f>Raw_Data!C518</f>
        <v/>
      </c>
      <c r="D518" s="7">
        <f>Raw_Data!D518</f>
        <v/>
      </c>
      <c r="E518" s="7">
        <f>Raw_Data!E518</f>
        <v/>
      </c>
      <c r="F518" s="8">
        <f>Raw_Data!F518</f>
        <v/>
      </c>
      <c r="G518" s="8">
        <f>Raw_Data!G518</f>
        <v/>
      </c>
      <c r="H518" s="7">
        <f>Raw_Data!H518</f>
        <v/>
      </c>
      <c r="I518" s="7">
        <f>Raw_Data!I518</f>
        <v/>
      </c>
      <c r="J518" s="8">
        <f>Raw_Data!J518</f>
        <v/>
      </c>
      <c r="K518" s="8">
        <f>Raw_Data!K518</f>
        <v/>
      </c>
      <c r="L518" s="8">
        <f>Raw_Data!L518</f>
        <v/>
      </c>
      <c r="M518" s="7">
        <f>Raw_Data!M518</f>
        <v/>
      </c>
      <c r="N518" s="7">
        <f>Raw_Data!N518</f>
        <v/>
      </c>
      <c r="O518" s="7">
        <f>Raw_Data!O518</f>
        <v/>
      </c>
      <c r="P518" s="8">
        <f>Raw_Data!P518</f>
        <v/>
      </c>
      <c r="R518" s="9">
        <f>IFERROR(Cleaned_Data!M518/Cleaned_Data!K518,0)</f>
        <v/>
      </c>
    </row>
    <row r="519">
      <c r="A519" s="10">
        <f>Raw_Data!A519</f>
        <v/>
      </c>
      <c r="B519" s="11">
        <f>Raw_Data!B519</f>
        <v/>
      </c>
      <c r="C519" s="11">
        <f>Raw_Data!C519</f>
        <v/>
      </c>
      <c r="D519" s="10">
        <f>Raw_Data!D519</f>
        <v/>
      </c>
      <c r="E519" s="10">
        <f>Raw_Data!E519</f>
        <v/>
      </c>
      <c r="F519" s="11">
        <f>Raw_Data!F519</f>
        <v/>
      </c>
      <c r="G519" s="11">
        <f>Raw_Data!G519</f>
        <v/>
      </c>
      <c r="H519" s="10">
        <f>Raw_Data!H519</f>
        <v/>
      </c>
      <c r="I519" s="10">
        <f>Raw_Data!I519</f>
        <v/>
      </c>
      <c r="J519" s="11">
        <f>Raw_Data!J519</f>
        <v/>
      </c>
      <c r="K519" s="11">
        <f>Raw_Data!K519</f>
        <v/>
      </c>
      <c r="L519" s="11">
        <f>Raw_Data!L519</f>
        <v/>
      </c>
      <c r="M519" s="10">
        <f>Raw_Data!M519</f>
        <v/>
      </c>
      <c r="N519" s="10">
        <f>Raw_Data!N519</f>
        <v/>
      </c>
      <c r="O519" s="10">
        <f>Raw_Data!O519</f>
        <v/>
      </c>
      <c r="P519" s="11">
        <f>Raw_Data!P519</f>
        <v/>
      </c>
      <c r="R519" s="9">
        <f>IFERROR(Cleaned_Data!M519/Cleaned_Data!K519,0)</f>
        <v/>
      </c>
    </row>
    <row r="520">
      <c r="A520" s="7">
        <f>Raw_Data!A520</f>
        <v/>
      </c>
      <c r="B520" s="8">
        <f>Raw_Data!B520</f>
        <v/>
      </c>
      <c r="C520" s="8">
        <f>Raw_Data!C520</f>
        <v/>
      </c>
      <c r="D520" s="7">
        <f>Raw_Data!D520</f>
        <v/>
      </c>
      <c r="E520" s="7">
        <f>Raw_Data!E520</f>
        <v/>
      </c>
      <c r="F520" s="8">
        <f>Raw_Data!F520</f>
        <v/>
      </c>
      <c r="G520" s="8">
        <f>Raw_Data!G520</f>
        <v/>
      </c>
      <c r="H520" s="7">
        <f>Raw_Data!H520</f>
        <v/>
      </c>
      <c r="I520" s="7">
        <f>Raw_Data!I520</f>
        <v/>
      </c>
      <c r="J520" s="8">
        <f>Raw_Data!J520</f>
        <v/>
      </c>
      <c r="K520" s="8">
        <f>Raw_Data!K520</f>
        <v/>
      </c>
      <c r="L520" s="8">
        <f>Raw_Data!L520</f>
        <v/>
      </c>
      <c r="M520" s="7">
        <f>Raw_Data!M520</f>
        <v/>
      </c>
      <c r="N520" s="7">
        <f>Raw_Data!N520</f>
        <v/>
      </c>
      <c r="O520" s="7">
        <f>Raw_Data!O520</f>
        <v/>
      </c>
      <c r="P520" s="8">
        <f>Raw_Data!P520</f>
        <v/>
      </c>
      <c r="R520" s="9">
        <f>IFERROR(Cleaned_Data!M520/Cleaned_Data!K520,0)</f>
        <v/>
      </c>
    </row>
    <row r="521">
      <c r="A521" s="10">
        <f>Raw_Data!A521</f>
        <v/>
      </c>
      <c r="B521" s="11">
        <f>Raw_Data!B521</f>
        <v/>
      </c>
      <c r="C521" s="11">
        <f>Raw_Data!C521</f>
        <v/>
      </c>
      <c r="D521" s="10">
        <f>Raw_Data!D521</f>
        <v/>
      </c>
      <c r="E521" s="10">
        <f>Raw_Data!E521</f>
        <v/>
      </c>
      <c r="F521" s="11">
        <f>Raw_Data!F521</f>
        <v/>
      </c>
      <c r="G521" s="11">
        <f>Raw_Data!G521</f>
        <v/>
      </c>
      <c r="H521" s="10">
        <f>Raw_Data!H521</f>
        <v/>
      </c>
      <c r="I521" s="10">
        <f>Raw_Data!I521</f>
        <v/>
      </c>
      <c r="J521" s="11">
        <f>Raw_Data!J521</f>
        <v/>
      </c>
      <c r="K521" s="11">
        <f>Raw_Data!K521</f>
        <v/>
      </c>
      <c r="L521" s="11">
        <f>Raw_Data!L521</f>
        <v/>
      </c>
      <c r="M521" s="10">
        <f>Raw_Data!M521</f>
        <v/>
      </c>
      <c r="N521" s="10">
        <f>Raw_Data!N521</f>
        <v/>
      </c>
      <c r="O521" s="10">
        <f>Raw_Data!O521</f>
        <v/>
      </c>
      <c r="P521" s="11">
        <f>Raw_Data!P521</f>
        <v/>
      </c>
      <c r="R521" s="9">
        <f>IFERROR(Cleaned_Data!M521/Cleaned_Data!K521,0)</f>
        <v/>
      </c>
    </row>
    <row r="522">
      <c r="A522" s="7">
        <f>Raw_Data!A522</f>
        <v/>
      </c>
      <c r="B522" s="8">
        <f>Raw_Data!B522</f>
        <v/>
      </c>
      <c r="C522" s="8">
        <f>Raw_Data!C522</f>
        <v/>
      </c>
      <c r="D522" s="7">
        <f>Raw_Data!D522</f>
        <v/>
      </c>
      <c r="E522" s="7">
        <f>Raw_Data!E522</f>
        <v/>
      </c>
      <c r="F522" s="8">
        <f>Raw_Data!F522</f>
        <v/>
      </c>
      <c r="G522" s="8">
        <f>Raw_Data!G522</f>
        <v/>
      </c>
      <c r="H522" s="7">
        <f>Raw_Data!H522</f>
        <v/>
      </c>
      <c r="I522" s="7">
        <f>Raw_Data!I522</f>
        <v/>
      </c>
      <c r="J522" s="8">
        <f>Raw_Data!J522</f>
        <v/>
      </c>
      <c r="K522" s="8">
        <f>Raw_Data!K522</f>
        <v/>
      </c>
      <c r="L522" s="8">
        <f>Raw_Data!L522</f>
        <v/>
      </c>
      <c r="M522" s="7">
        <f>Raw_Data!M522</f>
        <v/>
      </c>
      <c r="N522" s="7">
        <f>Raw_Data!N522</f>
        <v/>
      </c>
      <c r="O522" s="7">
        <f>Raw_Data!O522</f>
        <v/>
      </c>
      <c r="P522" s="8">
        <f>Raw_Data!P522</f>
        <v/>
      </c>
      <c r="R522" s="9">
        <f>IFERROR(Cleaned_Data!M522/Cleaned_Data!K522,0)</f>
        <v/>
      </c>
    </row>
    <row r="523">
      <c r="A523" s="10">
        <f>Raw_Data!A523</f>
        <v/>
      </c>
      <c r="B523" s="11">
        <f>Raw_Data!B523</f>
        <v/>
      </c>
      <c r="C523" s="11">
        <f>Raw_Data!C523</f>
        <v/>
      </c>
      <c r="D523" s="10">
        <f>Raw_Data!D523</f>
        <v/>
      </c>
      <c r="E523" s="10">
        <f>Raw_Data!E523</f>
        <v/>
      </c>
      <c r="F523" s="11">
        <f>Raw_Data!F523</f>
        <v/>
      </c>
      <c r="G523" s="11">
        <f>Raw_Data!G523</f>
        <v/>
      </c>
      <c r="H523" s="10">
        <f>Raw_Data!H523</f>
        <v/>
      </c>
      <c r="I523" s="10">
        <f>Raw_Data!I523</f>
        <v/>
      </c>
      <c r="J523" s="11">
        <f>Raw_Data!J523</f>
        <v/>
      </c>
      <c r="K523" s="11">
        <f>Raw_Data!K523</f>
        <v/>
      </c>
      <c r="L523" s="11">
        <f>Raw_Data!L523</f>
        <v/>
      </c>
      <c r="M523" s="10">
        <f>Raw_Data!M523</f>
        <v/>
      </c>
      <c r="N523" s="10">
        <f>Raw_Data!N523</f>
        <v/>
      </c>
      <c r="O523" s="10">
        <f>Raw_Data!O523</f>
        <v/>
      </c>
      <c r="P523" s="11">
        <f>Raw_Data!P523</f>
        <v/>
      </c>
      <c r="R523" s="9">
        <f>IFERROR(Cleaned_Data!M523/Cleaned_Data!K523,0)</f>
        <v/>
      </c>
    </row>
    <row r="524">
      <c r="A524" s="7">
        <f>Raw_Data!A524</f>
        <v/>
      </c>
      <c r="B524" s="8">
        <f>Raw_Data!B524</f>
        <v/>
      </c>
      <c r="C524" s="8">
        <f>Raw_Data!C524</f>
        <v/>
      </c>
      <c r="D524" s="7">
        <f>Raw_Data!D524</f>
        <v/>
      </c>
      <c r="E524" s="7">
        <f>Raw_Data!E524</f>
        <v/>
      </c>
      <c r="F524" s="8">
        <f>Raw_Data!F524</f>
        <v/>
      </c>
      <c r="G524" s="8">
        <f>Raw_Data!G524</f>
        <v/>
      </c>
      <c r="H524" s="7">
        <f>Raw_Data!H524</f>
        <v/>
      </c>
      <c r="I524" s="7">
        <f>Raw_Data!I524</f>
        <v/>
      </c>
      <c r="J524" s="8">
        <f>Raw_Data!J524</f>
        <v/>
      </c>
      <c r="K524" s="8">
        <f>Raw_Data!K524</f>
        <v/>
      </c>
      <c r="L524" s="8">
        <f>Raw_Data!L524</f>
        <v/>
      </c>
      <c r="M524" s="7">
        <f>Raw_Data!M524</f>
        <v/>
      </c>
      <c r="N524" s="7">
        <f>Raw_Data!N524</f>
        <v/>
      </c>
      <c r="O524" s="7">
        <f>Raw_Data!O524</f>
        <v/>
      </c>
      <c r="P524" s="8">
        <f>Raw_Data!P524</f>
        <v/>
      </c>
      <c r="R524" s="9">
        <f>IFERROR(Cleaned_Data!M524/Cleaned_Data!K524,0)</f>
        <v/>
      </c>
    </row>
    <row r="525">
      <c r="A525" s="10">
        <f>Raw_Data!A525</f>
        <v/>
      </c>
      <c r="B525" s="11">
        <f>Raw_Data!B525</f>
        <v/>
      </c>
      <c r="C525" s="11">
        <f>Raw_Data!C525</f>
        <v/>
      </c>
      <c r="D525" s="10">
        <f>Raw_Data!D525</f>
        <v/>
      </c>
      <c r="E525" s="10">
        <f>Raw_Data!E525</f>
        <v/>
      </c>
      <c r="F525" s="11">
        <f>Raw_Data!F525</f>
        <v/>
      </c>
      <c r="G525" s="11">
        <f>Raw_Data!G525</f>
        <v/>
      </c>
      <c r="H525" s="10">
        <f>Raw_Data!H525</f>
        <v/>
      </c>
      <c r="I525" s="10">
        <f>Raw_Data!I525</f>
        <v/>
      </c>
      <c r="J525" s="11">
        <f>Raw_Data!J525</f>
        <v/>
      </c>
      <c r="K525" s="11">
        <f>Raw_Data!K525</f>
        <v/>
      </c>
      <c r="L525" s="11">
        <f>Raw_Data!L525</f>
        <v/>
      </c>
      <c r="M525" s="10">
        <f>Raw_Data!M525</f>
        <v/>
      </c>
      <c r="N525" s="10">
        <f>Raw_Data!N525</f>
        <v/>
      </c>
      <c r="O525" s="10">
        <f>Raw_Data!O525</f>
        <v/>
      </c>
      <c r="P525" s="11">
        <f>Raw_Data!P525</f>
        <v/>
      </c>
      <c r="R525" s="9">
        <f>IFERROR(Cleaned_Data!M525/Cleaned_Data!K525,0)</f>
        <v/>
      </c>
    </row>
    <row r="526">
      <c r="A526" s="7">
        <f>Raw_Data!A526</f>
        <v/>
      </c>
      <c r="B526" s="8">
        <f>Raw_Data!B526</f>
        <v/>
      </c>
      <c r="C526" s="8">
        <f>Raw_Data!C526</f>
        <v/>
      </c>
      <c r="D526" s="7">
        <f>Raw_Data!D526</f>
        <v/>
      </c>
      <c r="E526" s="7">
        <f>Raw_Data!E526</f>
        <v/>
      </c>
      <c r="F526" s="8">
        <f>Raw_Data!F526</f>
        <v/>
      </c>
      <c r="G526" s="8">
        <f>Raw_Data!G526</f>
        <v/>
      </c>
      <c r="H526" s="7">
        <f>Raw_Data!H526</f>
        <v/>
      </c>
      <c r="I526" s="7">
        <f>Raw_Data!I526</f>
        <v/>
      </c>
      <c r="J526" s="8">
        <f>Raw_Data!J526</f>
        <v/>
      </c>
      <c r="K526" s="8">
        <f>Raw_Data!K526</f>
        <v/>
      </c>
      <c r="L526" s="8">
        <f>Raw_Data!L526</f>
        <v/>
      </c>
      <c r="M526" s="7">
        <f>Raw_Data!M526</f>
        <v/>
      </c>
      <c r="N526" s="7">
        <f>Raw_Data!N526</f>
        <v/>
      </c>
      <c r="O526" s="7">
        <f>Raw_Data!O526</f>
        <v/>
      </c>
      <c r="P526" s="8">
        <f>Raw_Data!P526</f>
        <v/>
      </c>
      <c r="R526" s="9">
        <f>IFERROR(Cleaned_Data!M526/Cleaned_Data!K526,0)</f>
        <v/>
      </c>
    </row>
    <row r="527">
      <c r="A527" s="10">
        <f>Raw_Data!A527</f>
        <v/>
      </c>
      <c r="B527" s="11">
        <f>Raw_Data!B527</f>
        <v/>
      </c>
      <c r="C527" s="11">
        <f>Raw_Data!C527</f>
        <v/>
      </c>
      <c r="D527" s="10">
        <f>Raw_Data!D527</f>
        <v/>
      </c>
      <c r="E527" s="10">
        <f>Raw_Data!E527</f>
        <v/>
      </c>
      <c r="F527" s="11">
        <f>Raw_Data!F527</f>
        <v/>
      </c>
      <c r="G527" s="11">
        <f>Raw_Data!G527</f>
        <v/>
      </c>
      <c r="H527" s="10">
        <f>Raw_Data!H527</f>
        <v/>
      </c>
      <c r="I527" s="10">
        <f>Raw_Data!I527</f>
        <v/>
      </c>
      <c r="J527" s="11">
        <f>Raw_Data!J527</f>
        <v/>
      </c>
      <c r="K527" s="11">
        <f>Raw_Data!K527</f>
        <v/>
      </c>
      <c r="L527" s="11">
        <f>Raw_Data!L527</f>
        <v/>
      </c>
      <c r="M527" s="10">
        <f>Raw_Data!M527</f>
        <v/>
      </c>
      <c r="N527" s="10">
        <f>Raw_Data!N527</f>
        <v/>
      </c>
      <c r="O527" s="10">
        <f>Raw_Data!O527</f>
        <v/>
      </c>
      <c r="P527" s="11">
        <f>Raw_Data!P527</f>
        <v/>
      </c>
      <c r="R527" s="9">
        <f>IFERROR(Cleaned_Data!M527/Cleaned_Data!K527,0)</f>
        <v/>
      </c>
    </row>
    <row r="528">
      <c r="A528" s="7">
        <f>Raw_Data!A528</f>
        <v/>
      </c>
      <c r="B528" s="8">
        <f>Raw_Data!B528</f>
        <v/>
      </c>
      <c r="C528" s="8">
        <f>Raw_Data!C528</f>
        <v/>
      </c>
      <c r="D528" s="7">
        <f>Raw_Data!D528</f>
        <v/>
      </c>
      <c r="E528" s="7">
        <f>Raw_Data!E528</f>
        <v/>
      </c>
      <c r="F528" s="8">
        <f>Raw_Data!F528</f>
        <v/>
      </c>
      <c r="G528" s="8">
        <f>Raw_Data!G528</f>
        <v/>
      </c>
      <c r="H528" s="7">
        <f>Raw_Data!H528</f>
        <v/>
      </c>
      <c r="I528" s="7">
        <f>Raw_Data!I528</f>
        <v/>
      </c>
      <c r="J528" s="8">
        <f>Raw_Data!J528</f>
        <v/>
      </c>
      <c r="K528" s="8">
        <f>Raw_Data!K528</f>
        <v/>
      </c>
      <c r="L528" s="8">
        <f>Raw_Data!L528</f>
        <v/>
      </c>
      <c r="M528" s="7">
        <f>Raw_Data!M528</f>
        <v/>
      </c>
      <c r="N528" s="7">
        <f>Raw_Data!N528</f>
        <v/>
      </c>
      <c r="O528" s="7">
        <f>Raw_Data!O528</f>
        <v/>
      </c>
      <c r="P528" s="8">
        <f>Raw_Data!P528</f>
        <v/>
      </c>
      <c r="R528" s="9">
        <f>IFERROR(Cleaned_Data!M528/Cleaned_Data!K528,0)</f>
        <v/>
      </c>
    </row>
    <row r="529">
      <c r="A529" s="10">
        <f>Raw_Data!A529</f>
        <v/>
      </c>
      <c r="B529" s="11">
        <f>Raw_Data!B529</f>
        <v/>
      </c>
      <c r="C529" s="11">
        <f>Raw_Data!C529</f>
        <v/>
      </c>
      <c r="D529" s="10">
        <f>Raw_Data!D529</f>
        <v/>
      </c>
      <c r="E529" s="10">
        <f>Raw_Data!E529</f>
        <v/>
      </c>
      <c r="F529" s="11">
        <f>Raw_Data!F529</f>
        <v/>
      </c>
      <c r="G529" s="11">
        <f>Raw_Data!G529</f>
        <v/>
      </c>
      <c r="H529" s="10">
        <f>Raw_Data!H529</f>
        <v/>
      </c>
      <c r="I529" s="10">
        <f>Raw_Data!I529</f>
        <v/>
      </c>
      <c r="J529" s="11">
        <f>Raw_Data!J529</f>
        <v/>
      </c>
      <c r="K529" s="11">
        <f>Raw_Data!K529</f>
        <v/>
      </c>
      <c r="L529" s="11">
        <f>Raw_Data!L529</f>
        <v/>
      </c>
      <c r="M529" s="10">
        <f>Raw_Data!M529</f>
        <v/>
      </c>
      <c r="N529" s="10">
        <f>Raw_Data!N529</f>
        <v/>
      </c>
      <c r="O529" s="10">
        <f>Raw_Data!O529</f>
        <v/>
      </c>
      <c r="P529" s="11">
        <f>Raw_Data!P529</f>
        <v/>
      </c>
      <c r="R529" s="9">
        <f>IFERROR(Cleaned_Data!M529/Cleaned_Data!K529,0)</f>
        <v/>
      </c>
    </row>
    <row r="530">
      <c r="A530" s="7">
        <f>Raw_Data!A530</f>
        <v/>
      </c>
      <c r="B530" s="8">
        <f>Raw_Data!B530</f>
        <v/>
      </c>
      <c r="C530" s="8">
        <f>Raw_Data!C530</f>
        <v/>
      </c>
      <c r="D530" s="7">
        <f>Raw_Data!D530</f>
        <v/>
      </c>
      <c r="E530" s="7">
        <f>Raw_Data!E530</f>
        <v/>
      </c>
      <c r="F530" s="8">
        <f>Raw_Data!F530</f>
        <v/>
      </c>
      <c r="G530" s="8">
        <f>Raw_Data!G530</f>
        <v/>
      </c>
      <c r="H530" s="7">
        <f>Raw_Data!H530</f>
        <v/>
      </c>
      <c r="I530" s="7">
        <f>Raw_Data!I530</f>
        <v/>
      </c>
      <c r="J530" s="8">
        <f>Raw_Data!J530</f>
        <v/>
      </c>
      <c r="K530" s="8">
        <f>Raw_Data!K530</f>
        <v/>
      </c>
      <c r="L530" s="8">
        <f>Raw_Data!L530</f>
        <v/>
      </c>
      <c r="M530" s="7">
        <f>Raw_Data!M530</f>
        <v/>
      </c>
      <c r="N530" s="7">
        <f>Raw_Data!N530</f>
        <v/>
      </c>
      <c r="O530" s="7">
        <f>Raw_Data!O530</f>
        <v/>
      </c>
      <c r="P530" s="8">
        <f>Raw_Data!P530</f>
        <v/>
      </c>
      <c r="R530" s="9">
        <f>IFERROR(Cleaned_Data!M530/Cleaned_Data!K530,0)</f>
        <v/>
      </c>
    </row>
    <row r="531">
      <c r="A531" s="10">
        <f>Raw_Data!A531</f>
        <v/>
      </c>
      <c r="B531" s="11">
        <f>Raw_Data!B531</f>
        <v/>
      </c>
      <c r="C531" s="11">
        <f>Raw_Data!C531</f>
        <v/>
      </c>
      <c r="D531" s="10">
        <f>Raw_Data!D531</f>
        <v/>
      </c>
      <c r="E531" s="10">
        <f>Raw_Data!E531</f>
        <v/>
      </c>
      <c r="F531" s="11">
        <f>Raw_Data!F531</f>
        <v/>
      </c>
      <c r="G531" s="11">
        <f>Raw_Data!G531</f>
        <v/>
      </c>
      <c r="H531" s="10">
        <f>Raw_Data!H531</f>
        <v/>
      </c>
      <c r="I531" s="10">
        <f>Raw_Data!I531</f>
        <v/>
      </c>
      <c r="J531" s="11">
        <f>Raw_Data!J531</f>
        <v/>
      </c>
      <c r="K531" s="11">
        <f>Raw_Data!K531</f>
        <v/>
      </c>
      <c r="L531" s="11">
        <f>Raw_Data!L531</f>
        <v/>
      </c>
      <c r="M531" s="10">
        <f>Raw_Data!M531</f>
        <v/>
      </c>
      <c r="N531" s="10">
        <f>Raw_Data!N531</f>
        <v/>
      </c>
      <c r="O531" s="10">
        <f>Raw_Data!O531</f>
        <v/>
      </c>
      <c r="P531" s="11">
        <f>Raw_Data!P531</f>
        <v/>
      </c>
      <c r="R531" s="9">
        <f>IFERROR(Cleaned_Data!M531/Cleaned_Data!K531,0)</f>
        <v/>
      </c>
    </row>
    <row r="532">
      <c r="A532" s="7">
        <f>Raw_Data!A532</f>
        <v/>
      </c>
      <c r="B532" s="8">
        <f>Raw_Data!B532</f>
        <v/>
      </c>
      <c r="C532" s="8">
        <f>Raw_Data!C532</f>
        <v/>
      </c>
      <c r="D532" s="7">
        <f>Raw_Data!D532</f>
        <v/>
      </c>
      <c r="E532" s="7">
        <f>Raw_Data!E532</f>
        <v/>
      </c>
      <c r="F532" s="8">
        <f>Raw_Data!F532</f>
        <v/>
      </c>
      <c r="G532" s="8">
        <f>Raw_Data!G532</f>
        <v/>
      </c>
      <c r="H532" s="7">
        <f>Raw_Data!H532</f>
        <v/>
      </c>
      <c r="I532" s="7">
        <f>Raw_Data!I532</f>
        <v/>
      </c>
      <c r="J532" s="8">
        <f>Raw_Data!J532</f>
        <v/>
      </c>
      <c r="K532" s="8">
        <f>Raw_Data!K532</f>
        <v/>
      </c>
      <c r="L532" s="8">
        <f>Raw_Data!L532</f>
        <v/>
      </c>
      <c r="M532" s="7">
        <f>Raw_Data!M532</f>
        <v/>
      </c>
      <c r="N532" s="7">
        <f>Raw_Data!N532</f>
        <v/>
      </c>
      <c r="O532" s="7">
        <f>Raw_Data!O532</f>
        <v/>
      </c>
      <c r="P532" s="8">
        <f>Raw_Data!P532</f>
        <v/>
      </c>
      <c r="R532" s="9">
        <f>IFERROR(Cleaned_Data!M532/Cleaned_Data!K532,0)</f>
        <v/>
      </c>
    </row>
    <row r="533">
      <c r="A533" s="10">
        <f>Raw_Data!A533</f>
        <v/>
      </c>
      <c r="B533" s="11">
        <f>Raw_Data!B533</f>
        <v/>
      </c>
      <c r="C533" s="11">
        <f>Raw_Data!C533</f>
        <v/>
      </c>
      <c r="D533" s="10">
        <f>Raw_Data!D533</f>
        <v/>
      </c>
      <c r="E533" s="10">
        <f>Raw_Data!E533</f>
        <v/>
      </c>
      <c r="F533" s="11">
        <f>Raw_Data!F533</f>
        <v/>
      </c>
      <c r="G533" s="11">
        <f>Raw_Data!G533</f>
        <v/>
      </c>
      <c r="H533" s="10">
        <f>Raw_Data!H533</f>
        <v/>
      </c>
      <c r="I533" s="10">
        <f>Raw_Data!I533</f>
        <v/>
      </c>
      <c r="J533" s="11">
        <f>Raw_Data!J533</f>
        <v/>
      </c>
      <c r="K533" s="11">
        <f>Raw_Data!K533</f>
        <v/>
      </c>
      <c r="L533" s="11">
        <f>Raw_Data!L533</f>
        <v/>
      </c>
      <c r="M533" s="10">
        <f>Raw_Data!M533</f>
        <v/>
      </c>
      <c r="N533" s="10">
        <f>Raw_Data!N533</f>
        <v/>
      </c>
      <c r="O533" s="10">
        <f>Raw_Data!O533</f>
        <v/>
      </c>
      <c r="P533" s="11">
        <f>Raw_Data!P533</f>
        <v/>
      </c>
      <c r="R533" s="9">
        <f>IFERROR(Cleaned_Data!M533/Cleaned_Data!K533,0)</f>
        <v/>
      </c>
    </row>
    <row r="534">
      <c r="A534" s="7">
        <f>Raw_Data!A534</f>
        <v/>
      </c>
      <c r="B534" s="8">
        <f>Raw_Data!B534</f>
        <v/>
      </c>
      <c r="C534" s="8">
        <f>Raw_Data!C534</f>
        <v/>
      </c>
      <c r="D534" s="7">
        <f>Raw_Data!D534</f>
        <v/>
      </c>
      <c r="E534" s="7">
        <f>Raw_Data!E534</f>
        <v/>
      </c>
      <c r="F534" s="8">
        <f>Raw_Data!F534</f>
        <v/>
      </c>
      <c r="G534" s="8">
        <f>Raw_Data!G534</f>
        <v/>
      </c>
      <c r="H534" s="7">
        <f>Raw_Data!H534</f>
        <v/>
      </c>
      <c r="I534" s="7">
        <f>Raw_Data!I534</f>
        <v/>
      </c>
      <c r="J534" s="8">
        <f>Raw_Data!J534</f>
        <v/>
      </c>
      <c r="K534" s="8">
        <f>Raw_Data!K534</f>
        <v/>
      </c>
      <c r="L534" s="8">
        <f>Raw_Data!L534</f>
        <v/>
      </c>
      <c r="M534" s="7">
        <f>Raw_Data!M534</f>
        <v/>
      </c>
      <c r="N534" s="7">
        <f>Raw_Data!N534</f>
        <v/>
      </c>
      <c r="O534" s="7">
        <f>Raw_Data!O534</f>
        <v/>
      </c>
      <c r="P534" s="8">
        <f>Raw_Data!P534</f>
        <v/>
      </c>
      <c r="R534" s="9">
        <f>IFERROR(Cleaned_Data!M534/Cleaned_Data!K534,0)</f>
        <v/>
      </c>
    </row>
    <row r="535">
      <c r="A535" s="10">
        <f>Raw_Data!A535</f>
        <v/>
      </c>
      <c r="B535" s="11">
        <f>Raw_Data!B535</f>
        <v/>
      </c>
      <c r="C535" s="11">
        <f>Raw_Data!C535</f>
        <v/>
      </c>
      <c r="D535" s="10">
        <f>Raw_Data!D535</f>
        <v/>
      </c>
      <c r="E535" s="10">
        <f>Raw_Data!E535</f>
        <v/>
      </c>
      <c r="F535" s="11">
        <f>Raw_Data!F535</f>
        <v/>
      </c>
      <c r="G535" s="11">
        <f>Raw_Data!G535</f>
        <v/>
      </c>
      <c r="H535" s="10">
        <f>Raw_Data!H535</f>
        <v/>
      </c>
      <c r="I535" s="10">
        <f>Raw_Data!I535</f>
        <v/>
      </c>
      <c r="J535" s="11">
        <f>Raw_Data!J535</f>
        <v/>
      </c>
      <c r="K535" s="11">
        <f>Raw_Data!K535</f>
        <v/>
      </c>
      <c r="L535" s="11">
        <f>Raw_Data!L535</f>
        <v/>
      </c>
      <c r="M535" s="10">
        <f>Raw_Data!M535</f>
        <v/>
      </c>
      <c r="N535" s="10">
        <f>Raw_Data!N535</f>
        <v/>
      </c>
      <c r="O535" s="10">
        <f>Raw_Data!O535</f>
        <v/>
      </c>
      <c r="P535" s="11">
        <f>Raw_Data!P535</f>
        <v/>
      </c>
      <c r="R535" s="9">
        <f>IFERROR(Cleaned_Data!M535/Cleaned_Data!K535,0)</f>
        <v/>
      </c>
    </row>
    <row r="536">
      <c r="A536" s="7">
        <f>Raw_Data!A536</f>
        <v/>
      </c>
      <c r="B536" s="8">
        <f>Raw_Data!B536</f>
        <v/>
      </c>
      <c r="C536" s="8">
        <f>Raw_Data!C536</f>
        <v/>
      </c>
      <c r="D536" s="7">
        <f>Raw_Data!D536</f>
        <v/>
      </c>
      <c r="E536" s="7">
        <f>Raw_Data!E536</f>
        <v/>
      </c>
      <c r="F536" s="8">
        <f>Raw_Data!F536</f>
        <v/>
      </c>
      <c r="G536" s="8">
        <f>Raw_Data!G536</f>
        <v/>
      </c>
      <c r="H536" s="7">
        <f>Raw_Data!H536</f>
        <v/>
      </c>
      <c r="I536" s="7">
        <f>Raw_Data!I536</f>
        <v/>
      </c>
      <c r="J536" s="8">
        <f>Raw_Data!J536</f>
        <v/>
      </c>
      <c r="K536" s="8">
        <f>Raw_Data!K536</f>
        <v/>
      </c>
      <c r="L536" s="8">
        <f>Raw_Data!L536</f>
        <v/>
      </c>
      <c r="M536" s="7">
        <f>Raw_Data!M536</f>
        <v/>
      </c>
      <c r="N536" s="7">
        <f>Raw_Data!N536</f>
        <v/>
      </c>
      <c r="O536" s="7">
        <f>Raw_Data!O536</f>
        <v/>
      </c>
      <c r="P536" s="8">
        <f>Raw_Data!P536</f>
        <v/>
      </c>
      <c r="R536" s="9">
        <f>IFERROR(Cleaned_Data!M536/Cleaned_Data!K536,0)</f>
        <v/>
      </c>
    </row>
    <row r="537">
      <c r="A537" s="10">
        <f>Raw_Data!A537</f>
        <v/>
      </c>
      <c r="B537" s="11">
        <f>Raw_Data!B537</f>
        <v/>
      </c>
      <c r="C537" s="11">
        <f>Raw_Data!C537</f>
        <v/>
      </c>
      <c r="D537" s="10">
        <f>Raw_Data!D537</f>
        <v/>
      </c>
      <c r="E537" s="10">
        <f>Raw_Data!E537</f>
        <v/>
      </c>
      <c r="F537" s="11">
        <f>Raw_Data!F537</f>
        <v/>
      </c>
      <c r="G537" s="11">
        <f>Raw_Data!G537</f>
        <v/>
      </c>
      <c r="H537" s="10">
        <f>Raw_Data!H537</f>
        <v/>
      </c>
      <c r="I537" s="10">
        <f>Raw_Data!I537</f>
        <v/>
      </c>
      <c r="J537" s="11">
        <f>Raw_Data!J537</f>
        <v/>
      </c>
      <c r="K537" s="11">
        <f>Raw_Data!K537</f>
        <v/>
      </c>
      <c r="L537" s="11">
        <f>Raw_Data!L537</f>
        <v/>
      </c>
      <c r="M537" s="10">
        <f>Raw_Data!M537</f>
        <v/>
      </c>
      <c r="N537" s="10">
        <f>Raw_Data!N537</f>
        <v/>
      </c>
      <c r="O537" s="10">
        <f>Raw_Data!O537</f>
        <v/>
      </c>
      <c r="P537" s="11">
        <f>Raw_Data!P537</f>
        <v/>
      </c>
      <c r="R537" s="9">
        <f>IFERROR(Cleaned_Data!M537/Cleaned_Data!K537,0)</f>
        <v/>
      </c>
    </row>
    <row r="538">
      <c r="A538" s="7">
        <f>Raw_Data!A538</f>
        <v/>
      </c>
      <c r="B538" s="8">
        <f>Raw_Data!B538</f>
        <v/>
      </c>
      <c r="C538" s="8">
        <f>Raw_Data!C538</f>
        <v/>
      </c>
      <c r="D538" s="7">
        <f>Raw_Data!D538</f>
        <v/>
      </c>
      <c r="E538" s="7">
        <f>Raw_Data!E538</f>
        <v/>
      </c>
      <c r="F538" s="8">
        <f>Raw_Data!F538</f>
        <v/>
      </c>
      <c r="G538" s="8">
        <f>Raw_Data!G538</f>
        <v/>
      </c>
      <c r="H538" s="7">
        <f>Raw_Data!H538</f>
        <v/>
      </c>
      <c r="I538" s="7">
        <f>Raw_Data!I538</f>
        <v/>
      </c>
      <c r="J538" s="8">
        <f>Raw_Data!J538</f>
        <v/>
      </c>
      <c r="K538" s="8">
        <f>Raw_Data!K538</f>
        <v/>
      </c>
      <c r="L538" s="8">
        <f>Raw_Data!L538</f>
        <v/>
      </c>
      <c r="M538" s="7">
        <f>Raw_Data!M538</f>
        <v/>
      </c>
      <c r="N538" s="7">
        <f>Raw_Data!N538</f>
        <v/>
      </c>
      <c r="O538" s="7">
        <f>Raw_Data!O538</f>
        <v/>
      </c>
      <c r="P538" s="8">
        <f>Raw_Data!P538</f>
        <v/>
      </c>
      <c r="R538" s="9">
        <f>IFERROR(Cleaned_Data!M538/Cleaned_Data!K538,0)</f>
        <v/>
      </c>
    </row>
    <row r="539">
      <c r="A539" s="10">
        <f>Raw_Data!A539</f>
        <v/>
      </c>
      <c r="B539" s="11">
        <f>Raw_Data!B539</f>
        <v/>
      </c>
      <c r="C539" s="11">
        <f>Raw_Data!C539</f>
        <v/>
      </c>
      <c r="D539" s="10">
        <f>Raw_Data!D539</f>
        <v/>
      </c>
      <c r="E539" s="10">
        <f>Raw_Data!E539</f>
        <v/>
      </c>
      <c r="F539" s="11">
        <f>Raw_Data!F539</f>
        <v/>
      </c>
      <c r="G539" s="11">
        <f>Raw_Data!G539</f>
        <v/>
      </c>
      <c r="H539" s="10">
        <f>Raw_Data!H539</f>
        <v/>
      </c>
      <c r="I539" s="10">
        <f>Raw_Data!I539</f>
        <v/>
      </c>
      <c r="J539" s="11">
        <f>Raw_Data!J539</f>
        <v/>
      </c>
      <c r="K539" s="11">
        <f>Raw_Data!K539</f>
        <v/>
      </c>
      <c r="L539" s="11">
        <f>Raw_Data!L539</f>
        <v/>
      </c>
      <c r="M539" s="10">
        <f>Raw_Data!M539</f>
        <v/>
      </c>
      <c r="N539" s="10">
        <f>Raw_Data!N539</f>
        <v/>
      </c>
      <c r="O539" s="10">
        <f>Raw_Data!O539</f>
        <v/>
      </c>
      <c r="P539" s="11">
        <f>Raw_Data!P539</f>
        <v/>
      </c>
      <c r="R539" s="9">
        <f>IFERROR(Cleaned_Data!M539/Cleaned_Data!K539,0)</f>
        <v/>
      </c>
    </row>
    <row r="540">
      <c r="A540" s="7">
        <f>Raw_Data!A540</f>
        <v/>
      </c>
      <c r="B540" s="8">
        <f>Raw_Data!B540</f>
        <v/>
      </c>
      <c r="C540" s="8">
        <f>Raw_Data!C540</f>
        <v/>
      </c>
      <c r="D540" s="7">
        <f>Raw_Data!D540</f>
        <v/>
      </c>
      <c r="E540" s="7">
        <f>Raw_Data!E540</f>
        <v/>
      </c>
      <c r="F540" s="8">
        <f>Raw_Data!F540</f>
        <v/>
      </c>
      <c r="G540" s="8">
        <f>Raw_Data!G540</f>
        <v/>
      </c>
      <c r="H540" s="7">
        <f>Raw_Data!H540</f>
        <v/>
      </c>
      <c r="I540" s="7">
        <f>Raw_Data!I540</f>
        <v/>
      </c>
      <c r="J540" s="8">
        <f>Raw_Data!J540</f>
        <v/>
      </c>
      <c r="K540" s="8">
        <f>Raw_Data!K540</f>
        <v/>
      </c>
      <c r="L540" s="8">
        <f>Raw_Data!L540</f>
        <v/>
      </c>
      <c r="M540" s="7">
        <f>Raw_Data!M540</f>
        <v/>
      </c>
      <c r="N540" s="7">
        <f>Raw_Data!N540</f>
        <v/>
      </c>
      <c r="O540" s="7">
        <f>Raw_Data!O540</f>
        <v/>
      </c>
      <c r="P540" s="8">
        <f>Raw_Data!P540</f>
        <v/>
      </c>
      <c r="R540" s="9">
        <f>IFERROR(Cleaned_Data!M540/Cleaned_Data!K540,0)</f>
        <v/>
      </c>
    </row>
    <row r="541">
      <c r="A541" s="10">
        <f>Raw_Data!A541</f>
        <v/>
      </c>
      <c r="B541" s="11">
        <f>Raw_Data!B541</f>
        <v/>
      </c>
      <c r="C541" s="11">
        <f>Raw_Data!C541</f>
        <v/>
      </c>
      <c r="D541" s="10">
        <f>Raw_Data!D541</f>
        <v/>
      </c>
      <c r="E541" s="10">
        <f>Raw_Data!E541</f>
        <v/>
      </c>
      <c r="F541" s="11">
        <f>Raw_Data!F541</f>
        <v/>
      </c>
      <c r="G541" s="11">
        <f>Raw_Data!G541</f>
        <v/>
      </c>
      <c r="H541" s="10">
        <f>Raw_Data!H541</f>
        <v/>
      </c>
      <c r="I541" s="10">
        <f>Raw_Data!I541</f>
        <v/>
      </c>
      <c r="J541" s="11">
        <f>Raw_Data!J541</f>
        <v/>
      </c>
      <c r="K541" s="11">
        <f>Raw_Data!K541</f>
        <v/>
      </c>
      <c r="L541" s="11">
        <f>Raw_Data!L541</f>
        <v/>
      </c>
      <c r="M541" s="10">
        <f>Raw_Data!M541</f>
        <v/>
      </c>
      <c r="N541" s="10">
        <f>Raw_Data!N541</f>
        <v/>
      </c>
      <c r="O541" s="10">
        <f>Raw_Data!O541</f>
        <v/>
      </c>
      <c r="P541" s="11">
        <f>Raw_Data!P541</f>
        <v/>
      </c>
      <c r="R541" s="9">
        <f>IFERROR(Cleaned_Data!M541/Cleaned_Data!K541,0)</f>
        <v/>
      </c>
    </row>
    <row r="542">
      <c r="A542" s="7">
        <f>Raw_Data!A542</f>
        <v/>
      </c>
      <c r="B542" s="8">
        <f>Raw_Data!B542</f>
        <v/>
      </c>
      <c r="C542" s="8">
        <f>Raw_Data!C542</f>
        <v/>
      </c>
      <c r="D542" s="7">
        <f>Raw_Data!D542</f>
        <v/>
      </c>
      <c r="E542" s="7">
        <f>Raw_Data!E542</f>
        <v/>
      </c>
      <c r="F542" s="8">
        <f>Raw_Data!F542</f>
        <v/>
      </c>
      <c r="G542" s="8">
        <f>Raw_Data!G542</f>
        <v/>
      </c>
      <c r="H542" s="7">
        <f>Raw_Data!H542</f>
        <v/>
      </c>
      <c r="I542" s="7">
        <f>Raw_Data!I542</f>
        <v/>
      </c>
      <c r="J542" s="8">
        <f>Raw_Data!J542</f>
        <v/>
      </c>
      <c r="K542" s="8">
        <f>Raw_Data!K542</f>
        <v/>
      </c>
      <c r="L542" s="8">
        <f>Raw_Data!L542</f>
        <v/>
      </c>
      <c r="M542" s="7">
        <f>Raw_Data!M542</f>
        <v/>
      </c>
      <c r="N542" s="7">
        <f>Raw_Data!N542</f>
        <v/>
      </c>
      <c r="O542" s="7">
        <f>Raw_Data!O542</f>
        <v/>
      </c>
      <c r="P542" s="8">
        <f>Raw_Data!P542</f>
        <v/>
      </c>
      <c r="R542" s="9">
        <f>IFERROR(Cleaned_Data!M542/Cleaned_Data!K542,0)</f>
        <v/>
      </c>
    </row>
    <row r="543">
      <c r="A543" s="10">
        <f>Raw_Data!A543</f>
        <v/>
      </c>
      <c r="B543" s="11">
        <f>Raw_Data!B543</f>
        <v/>
      </c>
      <c r="C543" s="11">
        <f>Raw_Data!C543</f>
        <v/>
      </c>
      <c r="D543" s="10">
        <f>Raw_Data!D543</f>
        <v/>
      </c>
      <c r="E543" s="10">
        <f>Raw_Data!E543</f>
        <v/>
      </c>
      <c r="F543" s="11">
        <f>Raw_Data!F543</f>
        <v/>
      </c>
      <c r="G543" s="11">
        <f>Raw_Data!G543</f>
        <v/>
      </c>
      <c r="H543" s="10">
        <f>Raw_Data!H543</f>
        <v/>
      </c>
      <c r="I543" s="10">
        <f>Raw_Data!I543</f>
        <v/>
      </c>
      <c r="J543" s="11">
        <f>Raw_Data!J543</f>
        <v/>
      </c>
      <c r="K543" s="11">
        <f>Raw_Data!K543</f>
        <v/>
      </c>
      <c r="L543" s="11">
        <f>Raw_Data!L543</f>
        <v/>
      </c>
      <c r="M543" s="10">
        <f>Raw_Data!M543</f>
        <v/>
      </c>
      <c r="N543" s="10">
        <f>Raw_Data!N543</f>
        <v/>
      </c>
      <c r="O543" s="10">
        <f>Raw_Data!O543</f>
        <v/>
      </c>
      <c r="P543" s="11">
        <f>Raw_Data!P543</f>
        <v/>
      </c>
      <c r="R543" s="9">
        <f>IFERROR(Cleaned_Data!M543/Cleaned_Data!K543,0)</f>
        <v/>
      </c>
    </row>
    <row r="544">
      <c r="A544" s="7">
        <f>Raw_Data!A544</f>
        <v/>
      </c>
      <c r="B544" s="8">
        <f>Raw_Data!B544</f>
        <v/>
      </c>
      <c r="C544" s="8">
        <f>Raw_Data!C544</f>
        <v/>
      </c>
      <c r="D544" s="7">
        <f>Raw_Data!D544</f>
        <v/>
      </c>
      <c r="E544" s="7">
        <f>Raw_Data!E544</f>
        <v/>
      </c>
      <c r="F544" s="8">
        <f>Raw_Data!F544</f>
        <v/>
      </c>
      <c r="G544" s="8">
        <f>Raw_Data!G544</f>
        <v/>
      </c>
      <c r="H544" s="7">
        <f>Raw_Data!H544</f>
        <v/>
      </c>
      <c r="I544" s="7">
        <f>Raw_Data!I544</f>
        <v/>
      </c>
      <c r="J544" s="8">
        <f>Raw_Data!J544</f>
        <v/>
      </c>
      <c r="K544" s="8">
        <f>Raw_Data!K544</f>
        <v/>
      </c>
      <c r="L544" s="8">
        <f>Raw_Data!L544</f>
        <v/>
      </c>
      <c r="M544" s="7">
        <f>Raw_Data!M544</f>
        <v/>
      </c>
      <c r="N544" s="7">
        <f>Raw_Data!N544</f>
        <v/>
      </c>
      <c r="O544" s="7">
        <f>Raw_Data!O544</f>
        <v/>
      </c>
      <c r="P544" s="8">
        <f>Raw_Data!P544</f>
        <v/>
      </c>
      <c r="R544" s="9">
        <f>IFERROR(Cleaned_Data!M544/Cleaned_Data!K544,0)</f>
        <v/>
      </c>
    </row>
    <row r="545">
      <c r="A545" s="10">
        <f>Raw_Data!A545</f>
        <v/>
      </c>
      <c r="B545" s="11">
        <f>Raw_Data!B545</f>
        <v/>
      </c>
      <c r="C545" s="11">
        <f>Raw_Data!C545</f>
        <v/>
      </c>
      <c r="D545" s="10">
        <f>Raw_Data!D545</f>
        <v/>
      </c>
      <c r="E545" s="10">
        <f>Raw_Data!E545</f>
        <v/>
      </c>
      <c r="F545" s="11">
        <f>Raw_Data!F545</f>
        <v/>
      </c>
      <c r="G545" s="11">
        <f>Raw_Data!G545</f>
        <v/>
      </c>
      <c r="H545" s="10">
        <f>Raw_Data!H545</f>
        <v/>
      </c>
      <c r="I545" s="10">
        <f>Raw_Data!I545</f>
        <v/>
      </c>
      <c r="J545" s="11">
        <f>Raw_Data!J545</f>
        <v/>
      </c>
      <c r="K545" s="11">
        <f>Raw_Data!K545</f>
        <v/>
      </c>
      <c r="L545" s="11">
        <f>Raw_Data!L545</f>
        <v/>
      </c>
      <c r="M545" s="10">
        <f>Raw_Data!M545</f>
        <v/>
      </c>
      <c r="N545" s="10">
        <f>Raw_Data!N545</f>
        <v/>
      </c>
      <c r="O545" s="10">
        <f>Raw_Data!O545</f>
        <v/>
      </c>
      <c r="P545" s="11">
        <f>Raw_Data!P545</f>
        <v/>
      </c>
      <c r="R545" s="9">
        <f>IFERROR(Cleaned_Data!M545/Cleaned_Data!K545,0)</f>
        <v/>
      </c>
    </row>
    <row r="546">
      <c r="A546" s="7">
        <f>Raw_Data!A546</f>
        <v/>
      </c>
      <c r="B546" s="8">
        <f>Raw_Data!B546</f>
        <v/>
      </c>
      <c r="C546" s="8">
        <f>Raw_Data!C546</f>
        <v/>
      </c>
      <c r="D546" s="7">
        <f>Raw_Data!D546</f>
        <v/>
      </c>
      <c r="E546" s="7">
        <f>Raw_Data!E546</f>
        <v/>
      </c>
      <c r="F546" s="8">
        <f>Raw_Data!F546</f>
        <v/>
      </c>
      <c r="G546" s="8">
        <f>Raw_Data!G546</f>
        <v/>
      </c>
      <c r="H546" s="7">
        <f>Raw_Data!H546</f>
        <v/>
      </c>
      <c r="I546" s="7">
        <f>Raw_Data!I546</f>
        <v/>
      </c>
      <c r="J546" s="8">
        <f>Raw_Data!J546</f>
        <v/>
      </c>
      <c r="K546" s="8">
        <f>Raw_Data!K546</f>
        <v/>
      </c>
      <c r="L546" s="8">
        <f>Raw_Data!L546</f>
        <v/>
      </c>
      <c r="M546" s="7">
        <f>Raw_Data!M546</f>
        <v/>
      </c>
      <c r="N546" s="7">
        <f>Raw_Data!N546</f>
        <v/>
      </c>
      <c r="O546" s="7">
        <f>Raw_Data!O546</f>
        <v/>
      </c>
      <c r="P546" s="8">
        <f>Raw_Data!P546</f>
        <v/>
      </c>
      <c r="R546" s="9">
        <f>IFERROR(Cleaned_Data!M546/Cleaned_Data!K546,0)</f>
        <v/>
      </c>
    </row>
    <row r="547">
      <c r="A547" s="10">
        <f>Raw_Data!A547</f>
        <v/>
      </c>
      <c r="B547" s="11">
        <f>Raw_Data!B547</f>
        <v/>
      </c>
      <c r="C547" s="11">
        <f>Raw_Data!C547</f>
        <v/>
      </c>
      <c r="D547" s="10">
        <f>Raw_Data!D547</f>
        <v/>
      </c>
      <c r="E547" s="10">
        <f>Raw_Data!E547</f>
        <v/>
      </c>
      <c r="F547" s="11">
        <f>Raw_Data!F547</f>
        <v/>
      </c>
      <c r="G547" s="11">
        <f>Raw_Data!G547</f>
        <v/>
      </c>
      <c r="H547" s="10">
        <f>Raw_Data!H547</f>
        <v/>
      </c>
      <c r="I547" s="10">
        <f>Raw_Data!I547</f>
        <v/>
      </c>
      <c r="J547" s="11">
        <f>Raw_Data!J547</f>
        <v/>
      </c>
      <c r="K547" s="11">
        <f>Raw_Data!K547</f>
        <v/>
      </c>
      <c r="L547" s="11">
        <f>Raw_Data!L547</f>
        <v/>
      </c>
      <c r="M547" s="10">
        <f>Raw_Data!M547</f>
        <v/>
      </c>
      <c r="N547" s="10">
        <f>Raw_Data!N547</f>
        <v/>
      </c>
      <c r="O547" s="10">
        <f>Raw_Data!O547</f>
        <v/>
      </c>
      <c r="P547" s="11">
        <f>Raw_Data!P547</f>
        <v/>
      </c>
      <c r="R547" s="9">
        <f>IFERROR(Cleaned_Data!M547/Cleaned_Data!K547,0)</f>
        <v/>
      </c>
    </row>
    <row r="548">
      <c r="A548" s="7">
        <f>Raw_Data!A548</f>
        <v/>
      </c>
      <c r="B548" s="8">
        <f>Raw_Data!B548</f>
        <v/>
      </c>
      <c r="C548" s="8">
        <f>Raw_Data!C548</f>
        <v/>
      </c>
      <c r="D548" s="7">
        <f>Raw_Data!D548</f>
        <v/>
      </c>
      <c r="E548" s="7">
        <f>Raw_Data!E548</f>
        <v/>
      </c>
      <c r="F548" s="8">
        <f>Raw_Data!F548</f>
        <v/>
      </c>
      <c r="G548" s="8">
        <f>Raw_Data!G548</f>
        <v/>
      </c>
      <c r="H548" s="7">
        <f>Raw_Data!H548</f>
        <v/>
      </c>
      <c r="I548" s="7">
        <f>Raw_Data!I548</f>
        <v/>
      </c>
      <c r="J548" s="8">
        <f>Raw_Data!J548</f>
        <v/>
      </c>
      <c r="K548" s="8">
        <f>Raw_Data!K548</f>
        <v/>
      </c>
      <c r="L548" s="8">
        <f>Raw_Data!L548</f>
        <v/>
      </c>
      <c r="M548" s="7">
        <f>Raw_Data!M548</f>
        <v/>
      </c>
      <c r="N548" s="7">
        <f>Raw_Data!N548</f>
        <v/>
      </c>
      <c r="O548" s="7">
        <f>Raw_Data!O548</f>
        <v/>
      </c>
      <c r="P548" s="8">
        <f>Raw_Data!P548</f>
        <v/>
      </c>
      <c r="R548" s="9">
        <f>IFERROR(Cleaned_Data!M548/Cleaned_Data!K548,0)</f>
        <v/>
      </c>
    </row>
    <row r="549">
      <c r="A549" s="10">
        <f>Raw_Data!A549</f>
        <v/>
      </c>
      <c r="B549" s="11">
        <f>Raw_Data!B549</f>
        <v/>
      </c>
      <c r="C549" s="11">
        <f>Raw_Data!C549</f>
        <v/>
      </c>
      <c r="D549" s="10">
        <f>Raw_Data!D549</f>
        <v/>
      </c>
      <c r="E549" s="10">
        <f>Raw_Data!E549</f>
        <v/>
      </c>
      <c r="F549" s="11">
        <f>Raw_Data!F549</f>
        <v/>
      </c>
      <c r="G549" s="11">
        <f>Raw_Data!G549</f>
        <v/>
      </c>
      <c r="H549" s="10">
        <f>Raw_Data!H549</f>
        <v/>
      </c>
      <c r="I549" s="10">
        <f>Raw_Data!I549</f>
        <v/>
      </c>
      <c r="J549" s="11">
        <f>Raw_Data!J549</f>
        <v/>
      </c>
      <c r="K549" s="11">
        <f>Raw_Data!K549</f>
        <v/>
      </c>
      <c r="L549" s="11">
        <f>Raw_Data!L549</f>
        <v/>
      </c>
      <c r="M549" s="10">
        <f>Raw_Data!M549</f>
        <v/>
      </c>
      <c r="N549" s="10">
        <f>Raw_Data!N549</f>
        <v/>
      </c>
      <c r="O549" s="10">
        <f>Raw_Data!O549</f>
        <v/>
      </c>
      <c r="P549" s="11">
        <f>Raw_Data!P549</f>
        <v/>
      </c>
      <c r="R549" s="9">
        <f>IFERROR(Cleaned_Data!M549/Cleaned_Data!K549,0)</f>
        <v/>
      </c>
    </row>
    <row r="550">
      <c r="A550" s="7">
        <f>Raw_Data!A550</f>
        <v/>
      </c>
      <c r="B550" s="8">
        <f>Raw_Data!B550</f>
        <v/>
      </c>
      <c r="C550" s="8">
        <f>Raw_Data!C550</f>
        <v/>
      </c>
      <c r="D550" s="7">
        <f>Raw_Data!D550</f>
        <v/>
      </c>
      <c r="E550" s="7">
        <f>Raw_Data!E550</f>
        <v/>
      </c>
      <c r="F550" s="8">
        <f>Raw_Data!F550</f>
        <v/>
      </c>
      <c r="G550" s="8">
        <f>Raw_Data!G550</f>
        <v/>
      </c>
      <c r="H550" s="7">
        <f>Raw_Data!H550</f>
        <v/>
      </c>
      <c r="I550" s="7">
        <f>Raw_Data!I550</f>
        <v/>
      </c>
      <c r="J550" s="8">
        <f>Raw_Data!J550</f>
        <v/>
      </c>
      <c r="K550" s="8">
        <f>Raw_Data!K550</f>
        <v/>
      </c>
      <c r="L550" s="8">
        <f>Raw_Data!L550</f>
        <v/>
      </c>
      <c r="M550" s="7">
        <f>Raw_Data!M550</f>
        <v/>
      </c>
      <c r="N550" s="7">
        <f>Raw_Data!N550</f>
        <v/>
      </c>
      <c r="O550" s="7">
        <f>Raw_Data!O550</f>
        <v/>
      </c>
      <c r="P550" s="8">
        <f>Raw_Data!P550</f>
        <v/>
      </c>
      <c r="R550" s="9">
        <f>IFERROR(Cleaned_Data!M550/Cleaned_Data!K550,0)</f>
        <v/>
      </c>
    </row>
    <row r="551">
      <c r="A551" s="10">
        <f>Raw_Data!A551</f>
        <v/>
      </c>
      <c r="B551" s="11">
        <f>Raw_Data!B551</f>
        <v/>
      </c>
      <c r="C551" s="11">
        <f>Raw_Data!C551</f>
        <v/>
      </c>
      <c r="D551" s="10">
        <f>Raw_Data!D551</f>
        <v/>
      </c>
      <c r="E551" s="10">
        <f>Raw_Data!E551</f>
        <v/>
      </c>
      <c r="F551" s="11">
        <f>Raw_Data!F551</f>
        <v/>
      </c>
      <c r="G551" s="11">
        <f>Raw_Data!G551</f>
        <v/>
      </c>
      <c r="H551" s="10">
        <f>Raw_Data!H551</f>
        <v/>
      </c>
      <c r="I551" s="10">
        <f>Raw_Data!I551</f>
        <v/>
      </c>
      <c r="J551" s="11">
        <f>Raw_Data!J551</f>
        <v/>
      </c>
      <c r="K551" s="11">
        <f>Raw_Data!K551</f>
        <v/>
      </c>
      <c r="L551" s="11">
        <f>Raw_Data!L551</f>
        <v/>
      </c>
      <c r="M551" s="10">
        <f>Raw_Data!M551</f>
        <v/>
      </c>
      <c r="N551" s="10">
        <f>Raw_Data!N551</f>
        <v/>
      </c>
      <c r="O551" s="10">
        <f>Raw_Data!O551</f>
        <v/>
      </c>
      <c r="P551" s="11">
        <f>Raw_Data!P551</f>
        <v/>
      </c>
      <c r="R551" s="9">
        <f>IFERROR(Cleaned_Data!M551/Cleaned_Data!K551,0)</f>
        <v/>
      </c>
    </row>
    <row r="552">
      <c r="A552" s="7">
        <f>Raw_Data!A552</f>
        <v/>
      </c>
      <c r="B552" s="8">
        <f>Raw_Data!B552</f>
        <v/>
      </c>
      <c r="C552" s="8">
        <f>Raw_Data!C552</f>
        <v/>
      </c>
      <c r="D552" s="7">
        <f>Raw_Data!D552</f>
        <v/>
      </c>
      <c r="E552" s="7">
        <f>Raw_Data!E552</f>
        <v/>
      </c>
      <c r="F552" s="8">
        <f>Raw_Data!F552</f>
        <v/>
      </c>
      <c r="G552" s="8">
        <f>Raw_Data!G552</f>
        <v/>
      </c>
      <c r="H552" s="7">
        <f>Raw_Data!H552</f>
        <v/>
      </c>
      <c r="I552" s="7">
        <f>Raw_Data!I552</f>
        <v/>
      </c>
      <c r="J552" s="8">
        <f>Raw_Data!J552</f>
        <v/>
      </c>
      <c r="K552" s="8">
        <f>Raw_Data!K552</f>
        <v/>
      </c>
      <c r="L552" s="8">
        <f>Raw_Data!L552</f>
        <v/>
      </c>
      <c r="M552" s="7">
        <f>Raw_Data!M552</f>
        <v/>
      </c>
      <c r="N552" s="7">
        <f>Raw_Data!N552</f>
        <v/>
      </c>
      <c r="O552" s="7">
        <f>Raw_Data!O552</f>
        <v/>
      </c>
      <c r="P552" s="8">
        <f>Raw_Data!P552</f>
        <v/>
      </c>
      <c r="R552" s="9">
        <f>IFERROR(Cleaned_Data!M552/Cleaned_Data!K552,0)</f>
        <v/>
      </c>
    </row>
    <row r="553">
      <c r="A553" s="10">
        <f>Raw_Data!A553</f>
        <v/>
      </c>
      <c r="B553" s="11">
        <f>Raw_Data!B553</f>
        <v/>
      </c>
      <c r="C553" s="11">
        <f>Raw_Data!C553</f>
        <v/>
      </c>
      <c r="D553" s="10">
        <f>Raw_Data!D553</f>
        <v/>
      </c>
      <c r="E553" s="10">
        <f>Raw_Data!E553</f>
        <v/>
      </c>
      <c r="F553" s="11">
        <f>Raw_Data!F553</f>
        <v/>
      </c>
      <c r="G553" s="11">
        <f>Raw_Data!G553</f>
        <v/>
      </c>
      <c r="H553" s="10">
        <f>Raw_Data!H553</f>
        <v/>
      </c>
      <c r="I553" s="10">
        <f>Raw_Data!I553</f>
        <v/>
      </c>
      <c r="J553" s="11">
        <f>Raw_Data!J553</f>
        <v/>
      </c>
      <c r="K553" s="11">
        <f>Raw_Data!K553</f>
        <v/>
      </c>
      <c r="L553" s="11">
        <f>Raw_Data!L553</f>
        <v/>
      </c>
      <c r="M553" s="10">
        <f>Raw_Data!M553</f>
        <v/>
      </c>
      <c r="N553" s="10">
        <f>Raw_Data!N553</f>
        <v/>
      </c>
      <c r="O553" s="10">
        <f>Raw_Data!O553</f>
        <v/>
      </c>
      <c r="P553" s="11">
        <f>Raw_Data!P553</f>
        <v/>
      </c>
      <c r="R553" s="9">
        <f>IFERROR(Cleaned_Data!M553/Cleaned_Data!K553,0)</f>
        <v/>
      </c>
    </row>
    <row r="554">
      <c r="A554" s="7">
        <f>Raw_Data!A554</f>
        <v/>
      </c>
      <c r="B554" s="8">
        <f>Raw_Data!B554</f>
        <v/>
      </c>
      <c r="C554" s="8">
        <f>Raw_Data!C554</f>
        <v/>
      </c>
      <c r="D554" s="7">
        <f>Raw_Data!D554</f>
        <v/>
      </c>
      <c r="E554" s="7">
        <f>Raw_Data!E554</f>
        <v/>
      </c>
      <c r="F554" s="8">
        <f>Raw_Data!F554</f>
        <v/>
      </c>
      <c r="G554" s="8">
        <f>Raw_Data!G554</f>
        <v/>
      </c>
      <c r="H554" s="7">
        <f>Raw_Data!H554</f>
        <v/>
      </c>
      <c r="I554" s="7">
        <f>Raw_Data!I554</f>
        <v/>
      </c>
      <c r="J554" s="8">
        <f>Raw_Data!J554</f>
        <v/>
      </c>
      <c r="K554" s="8">
        <f>Raw_Data!K554</f>
        <v/>
      </c>
      <c r="L554" s="8">
        <f>Raw_Data!L554</f>
        <v/>
      </c>
      <c r="M554" s="7">
        <f>Raw_Data!M554</f>
        <v/>
      </c>
      <c r="N554" s="7">
        <f>Raw_Data!N554</f>
        <v/>
      </c>
      <c r="O554" s="7">
        <f>Raw_Data!O554</f>
        <v/>
      </c>
      <c r="P554" s="8">
        <f>Raw_Data!P554</f>
        <v/>
      </c>
      <c r="R554" s="9">
        <f>IFERROR(Cleaned_Data!M554/Cleaned_Data!K554,0)</f>
        <v/>
      </c>
    </row>
    <row r="555">
      <c r="A555" s="10">
        <f>Raw_Data!A555</f>
        <v/>
      </c>
      <c r="B555" s="11">
        <f>Raw_Data!B555</f>
        <v/>
      </c>
      <c r="C555" s="11">
        <f>Raw_Data!C555</f>
        <v/>
      </c>
      <c r="D555" s="10">
        <f>Raw_Data!D555</f>
        <v/>
      </c>
      <c r="E555" s="10">
        <f>Raw_Data!E555</f>
        <v/>
      </c>
      <c r="F555" s="11">
        <f>Raw_Data!F555</f>
        <v/>
      </c>
      <c r="G555" s="11">
        <f>Raw_Data!G555</f>
        <v/>
      </c>
      <c r="H555" s="10">
        <f>Raw_Data!H555</f>
        <v/>
      </c>
      <c r="I555" s="10">
        <f>Raw_Data!I555</f>
        <v/>
      </c>
      <c r="J555" s="11">
        <f>Raw_Data!J555</f>
        <v/>
      </c>
      <c r="K555" s="11">
        <f>Raw_Data!K555</f>
        <v/>
      </c>
      <c r="L555" s="11">
        <f>Raw_Data!L555</f>
        <v/>
      </c>
      <c r="M555" s="10">
        <f>Raw_Data!M555</f>
        <v/>
      </c>
      <c r="N555" s="10">
        <f>Raw_Data!N555</f>
        <v/>
      </c>
      <c r="O555" s="10">
        <f>Raw_Data!O555</f>
        <v/>
      </c>
      <c r="P555" s="11">
        <f>Raw_Data!P555</f>
        <v/>
      </c>
      <c r="R555" s="9">
        <f>IFERROR(Cleaned_Data!M555/Cleaned_Data!K555,0)</f>
        <v/>
      </c>
    </row>
    <row r="556">
      <c r="A556" s="7">
        <f>Raw_Data!A556</f>
        <v/>
      </c>
      <c r="B556" s="8">
        <f>Raw_Data!B556</f>
        <v/>
      </c>
      <c r="C556" s="8">
        <f>Raw_Data!C556</f>
        <v/>
      </c>
      <c r="D556" s="7">
        <f>Raw_Data!D556</f>
        <v/>
      </c>
      <c r="E556" s="7">
        <f>Raw_Data!E556</f>
        <v/>
      </c>
      <c r="F556" s="8">
        <f>Raw_Data!F556</f>
        <v/>
      </c>
      <c r="G556" s="8">
        <f>Raw_Data!G556</f>
        <v/>
      </c>
      <c r="H556" s="7">
        <f>Raw_Data!H556</f>
        <v/>
      </c>
      <c r="I556" s="7">
        <f>Raw_Data!I556</f>
        <v/>
      </c>
      <c r="J556" s="8">
        <f>Raw_Data!J556</f>
        <v/>
      </c>
      <c r="K556" s="8">
        <f>Raw_Data!K556</f>
        <v/>
      </c>
      <c r="L556" s="8">
        <f>Raw_Data!L556</f>
        <v/>
      </c>
      <c r="M556" s="7">
        <f>Raw_Data!M556</f>
        <v/>
      </c>
      <c r="N556" s="7">
        <f>Raw_Data!N556</f>
        <v/>
      </c>
      <c r="O556" s="7">
        <f>Raw_Data!O556</f>
        <v/>
      </c>
      <c r="P556" s="8">
        <f>Raw_Data!P556</f>
        <v/>
      </c>
      <c r="R556" s="9">
        <f>IFERROR(Cleaned_Data!M556/Cleaned_Data!K556,0)</f>
        <v/>
      </c>
    </row>
    <row r="557">
      <c r="A557" s="10">
        <f>Raw_Data!A557</f>
        <v/>
      </c>
      <c r="B557" s="11">
        <f>Raw_Data!B557</f>
        <v/>
      </c>
      <c r="C557" s="11">
        <f>Raw_Data!C557</f>
        <v/>
      </c>
      <c r="D557" s="10">
        <f>Raw_Data!D557</f>
        <v/>
      </c>
      <c r="E557" s="10">
        <f>Raw_Data!E557</f>
        <v/>
      </c>
      <c r="F557" s="11">
        <f>Raw_Data!F557</f>
        <v/>
      </c>
      <c r="G557" s="11">
        <f>Raw_Data!G557</f>
        <v/>
      </c>
      <c r="H557" s="10">
        <f>Raw_Data!H557</f>
        <v/>
      </c>
      <c r="I557" s="10">
        <f>Raw_Data!I557</f>
        <v/>
      </c>
      <c r="J557" s="11">
        <f>Raw_Data!J557</f>
        <v/>
      </c>
      <c r="K557" s="11">
        <f>Raw_Data!K557</f>
        <v/>
      </c>
      <c r="L557" s="11">
        <f>Raw_Data!L557</f>
        <v/>
      </c>
      <c r="M557" s="10">
        <f>Raw_Data!M557</f>
        <v/>
      </c>
      <c r="N557" s="10">
        <f>Raw_Data!N557</f>
        <v/>
      </c>
      <c r="O557" s="10">
        <f>Raw_Data!O557</f>
        <v/>
      </c>
      <c r="P557" s="11">
        <f>Raw_Data!P557</f>
        <v/>
      </c>
      <c r="R557" s="9">
        <f>IFERROR(Cleaned_Data!M557/Cleaned_Data!K557,0)</f>
        <v/>
      </c>
    </row>
    <row r="558">
      <c r="A558" s="7">
        <f>Raw_Data!A558</f>
        <v/>
      </c>
      <c r="B558" s="8">
        <f>Raw_Data!B558</f>
        <v/>
      </c>
      <c r="C558" s="8">
        <f>Raw_Data!C558</f>
        <v/>
      </c>
      <c r="D558" s="7">
        <f>Raw_Data!D558</f>
        <v/>
      </c>
      <c r="E558" s="7">
        <f>Raw_Data!E558</f>
        <v/>
      </c>
      <c r="F558" s="8">
        <f>Raw_Data!F558</f>
        <v/>
      </c>
      <c r="G558" s="8">
        <f>Raw_Data!G558</f>
        <v/>
      </c>
      <c r="H558" s="7">
        <f>Raw_Data!H558</f>
        <v/>
      </c>
      <c r="I558" s="7">
        <f>Raw_Data!I558</f>
        <v/>
      </c>
      <c r="J558" s="8">
        <f>Raw_Data!J558</f>
        <v/>
      </c>
      <c r="K558" s="8">
        <f>Raw_Data!K558</f>
        <v/>
      </c>
      <c r="L558" s="8">
        <f>Raw_Data!L558</f>
        <v/>
      </c>
      <c r="M558" s="7">
        <f>Raw_Data!M558</f>
        <v/>
      </c>
      <c r="N558" s="7">
        <f>Raw_Data!N558</f>
        <v/>
      </c>
      <c r="O558" s="7">
        <f>Raw_Data!O558</f>
        <v/>
      </c>
      <c r="P558" s="8">
        <f>Raw_Data!P558</f>
        <v/>
      </c>
      <c r="R558" s="9">
        <f>IFERROR(Cleaned_Data!M558/Cleaned_Data!K558,0)</f>
        <v/>
      </c>
    </row>
    <row r="559">
      <c r="A559" s="10">
        <f>Raw_Data!A559</f>
        <v/>
      </c>
      <c r="B559" s="11">
        <f>Raw_Data!B559</f>
        <v/>
      </c>
      <c r="C559" s="11">
        <f>Raw_Data!C559</f>
        <v/>
      </c>
      <c r="D559" s="10">
        <f>Raw_Data!D559</f>
        <v/>
      </c>
      <c r="E559" s="10">
        <f>Raw_Data!E559</f>
        <v/>
      </c>
      <c r="F559" s="11">
        <f>Raw_Data!F559</f>
        <v/>
      </c>
      <c r="G559" s="11">
        <f>Raw_Data!G559</f>
        <v/>
      </c>
      <c r="H559" s="10">
        <f>Raw_Data!H559</f>
        <v/>
      </c>
      <c r="I559" s="10">
        <f>Raw_Data!I559</f>
        <v/>
      </c>
      <c r="J559" s="11">
        <f>Raw_Data!J559</f>
        <v/>
      </c>
      <c r="K559" s="11">
        <f>Raw_Data!K559</f>
        <v/>
      </c>
      <c r="L559" s="11">
        <f>Raw_Data!L559</f>
        <v/>
      </c>
      <c r="M559" s="10">
        <f>Raw_Data!M559</f>
        <v/>
      </c>
      <c r="N559" s="10">
        <f>Raw_Data!N559</f>
        <v/>
      </c>
      <c r="O559" s="10">
        <f>Raw_Data!O559</f>
        <v/>
      </c>
      <c r="P559" s="11">
        <f>Raw_Data!P559</f>
        <v/>
      </c>
      <c r="R559" s="9">
        <f>IFERROR(Cleaned_Data!M559/Cleaned_Data!K559,0)</f>
        <v/>
      </c>
    </row>
    <row r="560">
      <c r="A560" s="7">
        <f>Raw_Data!A560</f>
        <v/>
      </c>
      <c r="B560" s="8">
        <f>Raw_Data!B560</f>
        <v/>
      </c>
      <c r="C560" s="8">
        <f>Raw_Data!C560</f>
        <v/>
      </c>
      <c r="D560" s="7">
        <f>Raw_Data!D560</f>
        <v/>
      </c>
      <c r="E560" s="7">
        <f>Raw_Data!E560</f>
        <v/>
      </c>
      <c r="F560" s="8">
        <f>Raw_Data!F560</f>
        <v/>
      </c>
      <c r="G560" s="8">
        <f>Raw_Data!G560</f>
        <v/>
      </c>
      <c r="H560" s="7">
        <f>Raw_Data!H560</f>
        <v/>
      </c>
      <c r="I560" s="7">
        <f>Raw_Data!I560</f>
        <v/>
      </c>
      <c r="J560" s="8">
        <f>Raw_Data!J560</f>
        <v/>
      </c>
      <c r="K560" s="8">
        <f>Raw_Data!K560</f>
        <v/>
      </c>
      <c r="L560" s="8">
        <f>Raw_Data!L560</f>
        <v/>
      </c>
      <c r="M560" s="7">
        <f>Raw_Data!M560</f>
        <v/>
      </c>
      <c r="N560" s="7">
        <f>Raw_Data!N560</f>
        <v/>
      </c>
      <c r="O560" s="7">
        <f>Raw_Data!O560</f>
        <v/>
      </c>
      <c r="P560" s="8">
        <f>Raw_Data!P560</f>
        <v/>
      </c>
      <c r="R560" s="9">
        <f>IFERROR(Cleaned_Data!M560/Cleaned_Data!K560,0)</f>
        <v/>
      </c>
    </row>
    <row r="561">
      <c r="A561" s="10">
        <f>Raw_Data!A561</f>
        <v/>
      </c>
      <c r="B561" s="11">
        <f>Raw_Data!B561</f>
        <v/>
      </c>
      <c r="C561" s="11">
        <f>Raw_Data!C561</f>
        <v/>
      </c>
      <c r="D561" s="10">
        <f>Raw_Data!D561</f>
        <v/>
      </c>
      <c r="E561" s="10">
        <f>Raw_Data!E561</f>
        <v/>
      </c>
      <c r="F561" s="11">
        <f>Raw_Data!F561</f>
        <v/>
      </c>
      <c r="G561" s="11">
        <f>Raw_Data!G561</f>
        <v/>
      </c>
      <c r="H561" s="10">
        <f>Raw_Data!H561</f>
        <v/>
      </c>
      <c r="I561" s="10">
        <f>Raw_Data!I561</f>
        <v/>
      </c>
      <c r="J561" s="11">
        <f>Raw_Data!J561</f>
        <v/>
      </c>
      <c r="K561" s="11">
        <f>Raw_Data!K561</f>
        <v/>
      </c>
      <c r="L561" s="11">
        <f>Raw_Data!L561</f>
        <v/>
      </c>
      <c r="M561" s="10">
        <f>Raw_Data!M561</f>
        <v/>
      </c>
      <c r="N561" s="10">
        <f>Raw_Data!N561</f>
        <v/>
      </c>
      <c r="O561" s="10">
        <f>Raw_Data!O561</f>
        <v/>
      </c>
      <c r="P561" s="11">
        <f>Raw_Data!P561</f>
        <v/>
      </c>
      <c r="R561" s="9">
        <f>IFERROR(Cleaned_Data!M561/Cleaned_Data!K561,0)</f>
        <v/>
      </c>
    </row>
    <row r="562">
      <c r="A562" s="7">
        <f>Raw_Data!A562</f>
        <v/>
      </c>
      <c r="B562" s="8">
        <f>Raw_Data!B562</f>
        <v/>
      </c>
      <c r="C562" s="8">
        <f>Raw_Data!C562</f>
        <v/>
      </c>
      <c r="D562" s="7">
        <f>Raw_Data!D562</f>
        <v/>
      </c>
      <c r="E562" s="7">
        <f>Raw_Data!E562</f>
        <v/>
      </c>
      <c r="F562" s="8">
        <f>Raw_Data!F562</f>
        <v/>
      </c>
      <c r="G562" s="8">
        <f>Raw_Data!G562</f>
        <v/>
      </c>
      <c r="H562" s="7">
        <f>Raw_Data!H562</f>
        <v/>
      </c>
      <c r="I562" s="7">
        <f>Raw_Data!I562</f>
        <v/>
      </c>
      <c r="J562" s="8">
        <f>Raw_Data!J562</f>
        <v/>
      </c>
      <c r="K562" s="8">
        <f>Raw_Data!K562</f>
        <v/>
      </c>
      <c r="L562" s="8">
        <f>Raw_Data!L562</f>
        <v/>
      </c>
      <c r="M562" s="7">
        <f>Raw_Data!M562</f>
        <v/>
      </c>
      <c r="N562" s="7">
        <f>Raw_Data!N562</f>
        <v/>
      </c>
      <c r="O562" s="7">
        <f>Raw_Data!O562</f>
        <v/>
      </c>
      <c r="P562" s="8">
        <f>Raw_Data!P562</f>
        <v/>
      </c>
      <c r="R562" s="9">
        <f>IFERROR(Cleaned_Data!M562/Cleaned_Data!K562,0)</f>
        <v/>
      </c>
    </row>
    <row r="563">
      <c r="A563" s="10">
        <f>Raw_Data!A563</f>
        <v/>
      </c>
      <c r="B563" s="11">
        <f>Raw_Data!B563</f>
        <v/>
      </c>
      <c r="C563" s="11">
        <f>Raw_Data!C563</f>
        <v/>
      </c>
      <c r="D563" s="10">
        <f>Raw_Data!D563</f>
        <v/>
      </c>
      <c r="E563" s="10">
        <f>Raw_Data!E563</f>
        <v/>
      </c>
      <c r="F563" s="11">
        <f>Raw_Data!F563</f>
        <v/>
      </c>
      <c r="G563" s="11">
        <f>Raw_Data!G563</f>
        <v/>
      </c>
      <c r="H563" s="10">
        <f>Raw_Data!H563</f>
        <v/>
      </c>
      <c r="I563" s="10">
        <f>Raw_Data!I563</f>
        <v/>
      </c>
      <c r="J563" s="11">
        <f>Raw_Data!J563</f>
        <v/>
      </c>
      <c r="K563" s="11">
        <f>Raw_Data!K563</f>
        <v/>
      </c>
      <c r="L563" s="11">
        <f>Raw_Data!L563</f>
        <v/>
      </c>
      <c r="M563" s="10">
        <f>Raw_Data!M563</f>
        <v/>
      </c>
      <c r="N563" s="10">
        <f>Raw_Data!N563</f>
        <v/>
      </c>
      <c r="O563" s="10">
        <f>Raw_Data!O563</f>
        <v/>
      </c>
      <c r="P563" s="11">
        <f>Raw_Data!P563</f>
        <v/>
      </c>
      <c r="R563" s="9">
        <f>IFERROR(Cleaned_Data!M563/Cleaned_Data!K563,0)</f>
        <v/>
      </c>
    </row>
    <row r="564">
      <c r="A564" s="7">
        <f>Raw_Data!A564</f>
        <v/>
      </c>
      <c r="B564" s="8">
        <f>Raw_Data!B564</f>
        <v/>
      </c>
      <c r="C564" s="8">
        <f>Raw_Data!C564</f>
        <v/>
      </c>
      <c r="D564" s="7">
        <f>Raw_Data!D564</f>
        <v/>
      </c>
      <c r="E564" s="7">
        <f>Raw_Data!E564</f>
        <v/>
      </c>
      <c r="F564" s="8">
        <f>Raw_Data!F564</f>
        <v/>
      </c>
      <c r="G564" s="8">
        <f>Raw_Data!G564</f>
        <v/>
      </c>
      <c r="H564" s="7">
        <f>Raw_Data!H564</f>
        <v/>
      </c>
      <c r="I564" s="7">
        <f>Raw_Data!I564</f>
        <v/>
      </c>
      <c r="J564" s="8">
        <f>Raw_Data!J564</f>
        <v/>
      </c>
      <c r="K564" s="8">
        <f>Raw_Data!K564</f>
        <v/>
      </c>
      <c r="L564" s="8">
        <f>Raw_Data!L564</f>
        <v/>
      </c>
      <c r="M564" s="7">
        <f>Raw_Data!M564</f>
        <v/>
      </c>
      <c r="N564" s="7">
        <f>Raw_Data!N564</f>
        <v/>
      </c>
      <c r="O564" s="7">
        <f>Raw_Data!O564</f>
        <v/>
      </c>
      <c r="P564" s="8">
        <f>Raw_Data!P564</f>
        <v/>
      </c>
      <c r="R564" s="9">
        <f>IFERROR(Cleaned_Data!M564/Cleaned_Data!K564,0)</f>
        <v/>
      </c>
    </row>
    <row r="565">
      <c r="A565" s="10">
        <f>Raw_Data!A565</f>
        <v/>
      </c>
      <c r="B565" s="11">
        <f>Raw_Data!B565</f>
        <v/>
      </c>
      <c r="C565" s="11">
        <f>Raw_Data!C565</f>
        <v/>
      </c>
      <c r="D565" s="10">
        <f>Raw_Data!D565</f>
        <v/>
      </c>
      <c r="E565" s="10">
        <f>Raw_Data!E565</f>
        <v/>
      </c>
      <c r="F565" s="11">
        <f>Raw_Data!F565</f>
        <v/>
      </c>
      <c r="G565" s="11">
        <f>Raw_Data!G565</f>
        <v/>
      </c>
      <c r="H565" s="10">
        <f>Raw_Data!H565</f>
        <v/>
      </c>
      <c r="I565" s="10">
        <f>Raw_Data!I565</f>
        <v/>
      </c>
      <c r="J565" s="11">
        <f>Raw_Data!J565</f>
        <v/>
      </c>
      <c r="K565" s="11">
        <f>Raw_Data!K565</f>
        <v/>
      </c>
      <c r="L565" s="11">
        <f>Raw_Data!L565</f>
        <v/>
      </c>
      <c r="M565" s="10">
        <f>Raw_Data!M565</f>
        <v/>
      </c>
      <c r="N565" s="10">
        <f>Raw_Data!N565</f>
        <v/>
      </c>
      <c r="O565" s="10">
        <f>Raw_Data!O565</f>
        <v/>
      </c>
      <c r="P565" s="11">
        <f>Raw_Data!P565</f>
        <v/>
      </c>
      <c r="R565" s="9">
        <f>IFERROR(Cleaned_Data!M565/Cleaned_Data!K565,0)</f>
        <v/>
      </c>
    </row>
    <row r="566">
      <c r="A566" s="7">
        <f>Raw_Data!A566</f>
        <v/>
      </c>
      <c r="B566" s="8">
        <f>Raw_Data!B566</f>
        <v/>
      </c>
      <c r="C566" s="8">
        <f>Raw_Data!C566</f>
        <v/>
      </c>
      <c r="D566" s="7">
        <f>Raw_Data!D566</f>
        <v/>
      </c>
      <c r="E566" s="7">
        <f>Raw_Data!E566</f>
        <v/>
      </c>
      <c r="F566" s="8">
        <f>Raw_Data!F566</f>
        <v/>
      </c>
      <c r="G566" s="8">
        <f>Raw_Data!G566</f>
        <v/>
      </c>
      <c r="H566" s="7">
        <f>Raw_Data!H566</f>
        <v/>
      </c>
      <c r="I566" s="7">
        <f>Raw_Data!I566</f>
        <v/>
      </c>
      <c r="J566" s="8">
        <f>Raw_Data!J566</f>
        <v/>
      </c>
      <c r="K566" s="8">
        <f>Raw_Data!K566</f>
        <v/>
      </c>
      <c r="L566" s="8">
        <f>Raw_Data!L566</f>
        <v/>
      </c>
      <c r="M566" s="7">
        <f>Raw_Data!M566</f>
        <v/>
      </c>
      <c r="N566" s="7">
        <f>Raw_Data!N566</f>
        <v/>
      </c>
      <c r="O566" s="7">
        <f>Raw_Data!O566</f>
        <v/>
      </c>
      <c r="P566" s="8">
        <f>Raw_Data!P566</f>
        <v/>
      </c>
      <c r="R566" s="9">
        <f>IFERROR(Cleaned_Data!M566/Cleaned_Data!K566,0)</f>
        <v/>
      </c>
    </row>
    <row r="567">
      <c r="A567" s="10">
        <f>Raw_Data!A567</f>
        <v/>
      </c>
      <c r="B567" s="11">
        <f>Raw_Data!B567</f>
        <v/>
      </c>
      <c r="C567" s="11">
        <f>Raw_Data!C567</f>
        <v/>
      </c>
      <c r="D567" s="10">
        <f>Raw_Data!D567</f>
        <v/>
      </c>
      <c r="E567" s="10">
        <f>Raw_Data!E567</f>
        <v/>
      </c>
      <c r="F567" s="11">
        <f>Raw_Data!F567</f>
        <v/>
      </c>
      <c r="G567" s="11">
        <f>Raw_Data!G567</f>
        <v/>
      </c>
      <c r="H567" s="10">
        <f>Raw_Data!H567</f>
        <v/>
      </c>
      <c r="I567" s="10">
        <f>Raw_Data!I567</f>
        <v/>
      </c>
      <c r="J567" s="11">
        <f>Raw_Data!J567</f>
        <v/>
      </c>
      <c r="K567" s="11">
        <f>Raw_Data!K567</f>
        <v/>
      </c>
      <c r="L567" s="11">
        <f>Raw_Data!L567</f>
        <v/>
      </c>
      <c r="M567" s="10">
        <f>Raw_Data!M567</f>
        <v/>
      </c>
      <c r="N567" s="10">
        <f>Raw_Data!N567</f>
        <v/>
      </c>
      <c r="O567" s="10">
        <f>Raw_Data!O567</f>
        <v/>
      </c>
      <c r="P567" s="11">
        <f>Raw_Data!P567</f>
        <v/>
      </c>
      <c r="R567" s="9">
        <f>IFERROR(Cleaned_Data!M567/Cleaned_Data!K567,0)</f>
        <v/>
      </c>
    </row>
    <row r="568">
      <c r="A568" s="7">
        <f>Raw_Data!A568</f>
        <v/>
      </c>
      <c r="B568" s="8">
        <f>Raw_Data!B568</f>
        <v/>
      </c>
      <c r="C568" s="8">
        <f>Raw_Data!C568</f>
        <v/>
      </c>
      <c r="D568" s="7">
        <f>Raw_Data!D568</f>
        <v/>
      </c>
      <c r="E568" s="7">
        <f>Raw_Data!E568</f>
        <v/>
      </c>
      <c r="F568" s="8">
        <f>Raw_Data!F568</f>
        <v/>
      </c>
      <c r="G568" s="8">
        <f>Raw_Data!G568</f>
        <v/>
      </c>
      <c r="H568" s="7">
        <f>Raw_Data!H568</f>
        <v/>
      </c>
      <c r="I568" s="7">
        <f>Raw_Data!I568</f>
        <v/>
      </c>
      <c r="J568" s="8">
        <f>Raw_Data!J568</f>
        <v/>
      </c>
      <c r="K568" s="8">
        <f>Raw_Data!K568</f>
        <v/>
      </c>
      <c r="L568" s="8">
        <f>Raw_Data!L568</f>
        <v/>
      </c>
      <c r="M568" s="7">
        <f>Raw_Data!M568</f>
        <v/>
      </c>
      <c r="N568" s="7">
        <f>Raw_Data!N568</f>
        <v/>
      </c>
      <c r="O568" s="7">
        <f>Raw_Data!O568</f>
        <v/>
      </c>
      <c r="P568" s="8">
        <f>Raw_Data!P568</f>
        <v/>
      </c>
      <c r="R568" s="9">
        <f>IFERROR(Cleaned_Data!M568/Cleaned_Data!K568,0)</f>
        <v/>
      </c>
    </row>
    <row r="569">
      <c r="A569" s="10">
        <f>Raw_Data!A569</f>
        <v/>
      </c>
      <c r="B569" s="11">
        <f>Raw_Data!B569</f>
        <v/>
      </c>
      <c r="C569" s="11">
        <f>Raw_Data!C569</f>
        <v/>
      </c>
      <c r="D569" s="10">
        <f>Raw_Data!D569</f>
        <v/>
      </c>
      <c r="E569" s="10">
        <f>Raw_Data!E569</f>
        <v/>
      </c>
      <c r="F569" s="11">
        <f>Raw_Data!F569</f>
        <v/>
      </c>
      <c r="G569" s="11">
        <f>Raw_Data!G569</f>
        <v/>
      </c>
      <c r="H569" s="10">
        <f>Raw_Data!H569</f>
        <v/>
      </c>
      <c r="I569" s="10">
        <f>Raw_Data!I569</f>
        <v/>
      </c>
      <c r="J569" s="11">
        <f>Raw_Data!J569</f>
        <v/>
      </c>
      <c r="K569" s="11">
        <f>Raw_Data!K569</f>
        <v/>
      </c>
      <c r="L569" s="11">
        <f>Raw_Data!L569</f>
        <v/>
      </c>
      <c r="M569" s="10">
        <f>Raw_Data!M569</f>
        <v/>
      </c>
      <c r="N569" s="10">
        <f>Raw_Data!N569</f>
        <v/>
      </c>
      <c r="O569" s="10">
        <f>Raw_Data!O569</f>
        <v/>
      </c>
      <c r="P569" s="11">
        <f>Raw_Data!P569</f>
        <v/>
      </c>
      <c r="R569" s="9">
        <f>IFERROR(Cleaned_Data!M569/Cleaned_Data!K569,0)</f>
        <v/>
      </c>
    </row>
    <row r="570">
      <c r="A570" s="7">
        <f>Raw_Data!A570</f>
        <v/>
      </c>
      <c r="B570" s="8">
        <f>Raw_Data!B570</f>
        <v/>
      </c>
      <c r="C570" s="8">
        <f>Raw_Data!C570</f>
        <v/>
      </c>
      <c r="D570" s="7">
        <f>Raw_Data!D570</f>
        <v/>
      </c>
      <c r="E570" s="7">
        <f>Raw_Data!E570</f>
        <v/>
      </c>
      <c r="F570" s="8">
        <f>Raw_Data!F570</f>
        <v/>
      </c>
      <c r="G570" s="8">
        <f>Raw_Data!G570</f>
        <v/>
      </c>
      <c r="H570" s="7">
        <f>Raw_Data!H570</f>
        <v/>
      </c>
      <c r="I570" s="7">
        <f>Raw_Data!I570</f>
        <v/>
      </c>
      <c r="J570" s="8">
        <f>Raw_Data!J570</f>
        <v/>
      </c>
      <c r="K570" s="8">
        <f>Raw_Data!K570</f>
        <v/>
      </c>
      <c r="L570" s="8">
        <f>Raw_Data!L570</f>
        <v/>
      </c>
      <c r="M570" s="7">
        <f>Raw_Data!M570</f>
        <v/>
      </c>
      <c r="N570" s="7">
        <f>Raw_Data!N570</f>
        <v/>
      </c>
      <c r="O570" s="7">
        <f>Raw_Data!O570</f>
        <v/>
      </c>
      <c r="P570" s="8">
        <f>Raw_Data!P570</f>
        <v/>
      </c>
      <c r="R570" s="9">
        <f>IFERROR(Cleaned_Data!M570/Cleaned_Data!K570,0)</f>
        <v/>
      </c>
    </row>
    <row r="571">
      <c r="A571" s="10">
        <f>Raw_Data!A571</f>
        <v/>
      </c>
      <c r="B571" s="11">
        <f>Raw_Data!B571</f>
        <v/>
      </c>
      <c r="C571" s="11">
        <f>Raw_Data!C571</f>
        <v/>
      </c>
      <c r="D571" s="10">
        <f>Raw_Data!D571</f>
        <v/>
      </c>
      <c r="E571" s="10">
        <f>Raw_Data!E571</f>
        <v/>
      </c>
      <c r="F571" s="11">
        <f>Raw_Data!F571</f>
        <v/>
      </c>
      <c r="G571" s="11">
        <f>Raw_Data!G571</f>
        <v/>
      </c>
      <c r="H571" s="10">
        <f>Raw_Data!H571</f>
        <v/>
      </c>
      <c r="I571" s="10">
        <f>Raw_Data!I571</f>
        <v/>
      </c>
      <c r="J571" s="11">
        <f>Raw_Data!J571</f>
        <v/>
      </c>
      <c r="K571" s="11">
        <f>Raw_Data!K571</f>
        <v/>
      </c>
      <c r="L571" s="11">
        <f>Raw_Data!L571</f>
        <v/>
      </c>
      <c r="M571" s="10">
        <f>Raw_Data!M571</f>
        <v/>
      </c>
      <c r="N571" s="10">
        <f>Raw_Data!N571</f>
        <v/>
      </c>
      <c r="O571" s="10">
        <f>Raw_Data!O571</f>
        <v/>
      </c>
      <c r="P571" s="11">
        <f>Raw_Data!P571</f>
        <v/>
      </c>
      <c r="R571" s="9">
        <f>IFERROR(Cleaned_Data!M571/Cleaned_Data!K571,0)</f>
        <v/>
      </c>
    </row>
    <row r="572">
      <c r="A572" s="7">
        <f>Raw_Data!A572</f>
        <v/>
      </c>
      <c r="B572" s="8">
        <f>Raw_Data!B572</f>
        <v/>
      </c>
      <c r="C572" s="8">
        <f>Raw_Data!C572</f>
        <v/>
      </c>
      <c r="D572" s="7">
        <f>Raw_Data!D572</f>
        <v/>
      </c>
      <c r="E572" s="7">
        <f>Raw_Data!E572</f>
        <v/>
      </c>
      <c r="F572" s="8">
        <f>Raw_Data!F572</f>
        <v/>
      </c>
      <c r="G572" s="8">
        <f>Raw_Data!G572</f>
        <v/>
      </c>
      <c r="H572" s="7">
        <f>Raw_Data!H572</f>
        <v/>
      </c>
      <c r="I572" s="7">
        <f>Raw_Data!I572</f>
        <v/>
      </c>
      <c r="J572" s="8">
        <f>Raw_Data!J572</f>
        <v/>
      </c>
      <c r="K572" s="8">
        <f>Raw_Data!K572</f>
        <v/>
      </c>
      <c r="L572" s="8">
        <f>Raw_Data!L572</f>
        <v/>
      </c>
      <c r="M572" s="7">
        <f>Raw_Data!M572</f>
        <v/>
      </c>
      <c r="N572" s="7">
        <f>Raw_Data!N572</f>
        <v/>
      </c>
      <c r="O572" s="7">
        <f>Raw_Data!O572</f>
        <v/>
      </c>
      <c r="P572" s="8">
        <f>Raw_Data!P572</f>
        <v/>
      </c>
      <c r="R572" s="9">
        <f>IFERROR(Cleaned_Data!M572/Cleaned_Data!K572,0)</f>
        <v/>
      </c>
    </row>
    <row r="573">
      <c r="A573" s="10">
        <f>Raw_Data!A573</f>
        <v/>
      </c>
      <c r="B573" s="11">
        <f>Raw_Data!B573</f>
        <v/>
      </c>
      <c r="C573" s="11">
        <f>Raw_Data!C573</f>
        <v/>
      </c>
      <c r="D573" s="10">
        <f>Raw_Data!D573</f>
        <v/>
      </c>
      <c r="E573" s="10">
        <f>Raw_Data!E573</f>
        <v/>
      </c>
      <c r="F573" s="11">
        <f>Raw_Data!F573</f>
        <v/>
      </c>
      <c r="G573" s="11">
        <f>Raw_Data!G573</f>
        <v/>
      </c>
      <c r="H573" s="10">
        <f>Raw_Data!H573</f>
        <v/>
      </c>
      <c r="I573" s="10">
        <f>Raw_Data!I573</f>
        <v/>
      </c>
      <c r="J573" s="11">
        <f>Raw_Data!J573</f>
        <v/>
      </c>
      <c r="K573" s="11">
        <f>Raw_Data!K573</f>
        <v/>
      </c>
      <c r="L573" s="11">
        <f>Raw_Data!L573</f>
        <v/>
      </c>
      <c r="M573" s="10">
        <f>Raw_Data!M573</f>
        <v/>
      </c>
      <c r="N573" s="10">
        <f>Raw_Data!N573</f>
        <v/>
      </c>
      <c r="O573" s="10">
        <f>Raw_Data!O573</f>
        <v/>
      </c>
      <c r="P573" s="11">
        <f>Raw_Data!P573</f>
        <v/>
      </c>
      <c r="R573" s="9">
        <f>IFERROR(Cleaned_Data!M573/Cleaned_Data!K573,0)</f>
        <v/>
      </c>
    </row>
    <row r="574">
      <c r="A574" s="7">
        <f>Raw_Data!A574</f>
        <v/>
      </c>
      <c r="B574" s="8">
        <f>Raw_Data!B574</f>
        <v/>
      </c>
      <c r="C574" s="8">
        <f>Raw_Data!C574</f>
        <v/>
      </c>
      <c r="D574" s="7">
        <f>Raw_Data!D574</f>
        <v/>
      </c>
      <c r="E574" s="7">
        <f>Raw_Data!E574</f>
        <v/>
      </c>
      <c r="F574" s="8">
        <f>Raw_Data!F574</f>
        <v/>
      </c>
      <c r="G574" s="8">
        <f>Raw_Data!G574</f>
        <v/>
      </c>
      <c r="H574" s="7">
        <f>Raw_Data!H574</f>
        <v/>
      </c>
      <c r="I574" s="7">
        <f>Raw_Data!I574</f>
        <v/>
      </c>
      <c r="J574" s="8">
        <f>Raw_Data!J574</f>
        <v/>
      </c>
      <c r="K574" s="8">
        <f>Raw_Data!K574</f>
        <v/>
      </c>
      <c r="L574" s="8">
        <f>Raw_Data!L574</f>
        <v/>
      </c>
      <c r="M574" s="7">
        <f>Raw_Data!M574</f>
        <v/>
      </c>
      <c r="N574" s="7">
        <f>Raw_Data!N574</f>
        <v/>
      </c>
      <c r="O574" s="7">
        <f>Raw_Data!O574</f>
        <v/>
      </c>
      <c r="P574" s="8">
        <f>Raw_Data!P574</f>
        <v/>
      </c>
      <c r="R574" s="9">
        <f>IFERROR(Cleaned_Data!M574/Cleaned_Data!K574,0)</f>
        <v/>
      </c>
    </row>
    <row r="575">
      <c r="A575" s="10">
        <f>Raw_Data!A575</f>
        <v/>
      </c>
      <c r="B575" s="11">
        <f>Raw_Data!B575</f>
        <v/>
      </c>
      <c r="C575" s="11">
        <f>Raw_Data!C575</f>
        <v/>
      </c>
      <c r="D575" s="10">
        <f>Raw_Data!D575</f>
        <v/>
      </c>
      <c r="E575" s="10">
        <f>Raw_Data!E575</f>
        <v/>
      </c>
      <c r="F575" s="11">
        <f>Raw_Data!F575</f>
        <v/>
      </c>
      <c r="G575" s="11">
        <f>Raw_Data!G575</f>
        <v/>
      </c>
      <c r="H575" s="10">
        <f>Raw_Data!H575</f>
        <v/>
      </c>
      <c r="I575" s="10">
        <f>Raw_Data!I575</f>
        <v/>
      </c>
      <c r="J575" s="11">
        <f>Raw_Data!J575</f>
        <v/>
      </c>
      <c r="K575" s="11">
        <f>Raw_Data!K575</f>
        <v/>
      </c>
      <c r="L575" s="11">
        <f>Raw_Data!L575</f>
        <v/>
      </c>
      <c r="M575" s="10">
        <f>Raw_Data!M575</f>
        <v/>
      </c>
      <c r="N575" s="10">
        <f>Raw_Data!N575</f>
        <v/>
      </c>
      <c r="O575" s="10">
        <f>Raw_Data!O575</f>
        <v/>
      </c>
      <c r="P575" s="11">
        <f>Raw_Data!P575</f>
        <v/>
      </c>
      <c r="R575" s="9">
        <f>IFERROR(Cleaned_Data!M575/Cleaned_Data!K575,0)</f>
        <v/>
      </c>
    </row>
    <row r="576">
      <c r="A576" s="7">
        <f>Raw_Data!A576</f>
        <v/>
      </c>
      <c r="B576" s="8">
        <f>Raw_Data!B576</f>
        <v/>
      </c>
      <c r="C576" s="8">
        <f>Raw_Data!C576</f>
        <v/>
      </c>
      <c r="D576" s="7">
        <f>Raw_Data!D576</f>
        <v/>
      </c>
      <c r="E576" s="7">
        <f>Raw_Data!E576</f>
        <v/>
      </c>
      <c r="F576" s="8">
        <f>Raw_Data!F576</f>
        <v/>
      </c>
      <c r="G576" s="8">
        <f>Raw_Data!G576</f>
        <v/>
      </c>
      <c r="H576" s="7">
        <f>Raw_Data!H576</f>
        <v/>
      </c>
      <c r="I576" s="7">
        <f>Raw_Data!I576</f>
        <v/>
      </c>
      <c r="J576" s="8">
        <f>Raw_Data!J576</f>
        <v/>
      </c>
      <c r="K576" s="8">
        <f>Raw_Data!K576</f>
        <v/>
      </c>
      <c r="L576" s="8">
        <f>Raw_Data!L576</f>
        <v/>
      </c>
      <c r="M576" s="7">
        <f>Raw_Data!M576</f>
        <v/>
      </c>
      <c r="N576" s="7">
        <f>Raw_Data!N576</f>
        <v/>
      </c>
      <c r="O576" s="7">
        <f>Raw_Data!O576</f>
        <v/>
      </c>
      <c r="P576" s="8">
        <f>Raw_Data!P576</f>
        <v/>
      </c>
      <c r="R576" s="9">
        <f>IFERROR(Cleaned_Data!M576/Cleaned_Data!K576,0)</f>
        <v/>
      </c>
    </row>
    <row r="577">
      <c r="A577" s="10">
        <f>Raw_Data!A577</f>
        <v/>
      </c>
      <c r="B577" s="11">
        <f>Raw_Data!B577</f>
        <v/>
      </c>
      <c r="C577" s="11">
        <f>Raw_Data!C577</f>
        <v/>
      </c>
      <c r="D577" s="10">
        <f>Raw_Data!D577</f>
        <v/>
      </c>
      <c r="E577" s="10">
        <f>Raw_Data!E577</f>
        <v/>
      </c>
      <c r="F577" s="11">
        <f>Raw_Data!F577</f>
        <v/>
      </c>
      <c r="G577" s="11">
        <f>Raw_Data!G577</f>
        <v/>
      </c>
      <c r="H577" s="10">
        <f>Raw_Data!H577</f>
        <v/>
      </c>
      <c r="I577" s="10">
        <f>Raw_Data!I577</f>
        <v/>
      </c>
      <c r="J577" s="11">
        <f>Raw_Data!J577</f>
        <v/>
      </c>
      <c r="K577" s="11">
        <f>Raw_Data!K577</f>
        <v/>
      </c>
      <c r="L577" s="11">
        <f>Raw_Data!L577</f>
        <v/>
      </c>
      <c r="M577" s="10">
        <f>Raw_Data!M577</f>
        <v/>
      </c>
      <c r="N577" s="10">
        <f>Raw_Data!N577</f>
        <v/>
      </c>
      <c r="O577" s="10">
        <f>Raw_Data!O577</f>
        <v/>
      </c>
      <c r="P577" s="11">
        <f>Raw_Data!P577</f>
        <v/>
      </c>
      <c r="R577" s="9">
        <f>IFERROR(Cleaned_Data!M577/Cleaned_Data!K577,0)</f>
        <v/>
      </c>
    </row>
    <row r="578">
      <c r="A578" s="7">
        <f>Raw_Data!A578</f>
        <v/>
      </c>
      <c r="B578" s="8">
        <f>Raw_Data!B578</f>
        <v/>
      </c>
      <c r="C578" s="8">
        <f>Raw_Data!C578</f>
        <v/>
      </c>
      <c r="D578" s="7">
        <f>Raw_Data!D578</f>
        <v/>
      </c>
      <c r="E578" s="7">
        <f>Raw_Data!E578</f>
        <v/>
      </c>
      <c r="F578" s="8">
        <f>Raw_Data!F578</f>
        <v/>
      </c>
      <c r="G578" s="8">
        <f>Raw_Data!G578</f>
        <v/>
      </c>
      <c r="H578" s="7">
        <f>Raw_Data!H578</f>
        <v/>
      </c>
      <c r="I578" s="7">
        <f>Raw_Data!I578</f>
        <v/>
      </c>
      <c r="J578" s="8">
        <f>Raw_Data!J578</f>
        <v/>
      </c>
      <c r="K578" s="8">
        <f>Raw_Data!K578</f>
        <v/>
      </c>
      <c r="L578" s="8">
        <f>Raw_Data!L578</f>
        <v/>
      </c>
      <c r="M578" s="7">
        <f>Raw_Data!M578</f>
        <v/>
      </c>
      <c r="N578" s="7">
        <f>Raw_Data!N578</f>
        <v/>
      </c>
      <c r="O578" s="7">
        <f>Raw_Data!O578</f>
        <v/>
      </c>
      <c r="P578" s="8">
        <f>Raw_Data!P578</f>
        <v/>
      </c>
      <c r="R578" s="9">
        <f>IFERROR(Cleaned_Data!M578/Cleaned_Data!K578,0)</f>
        <v/>
      </c>
    </row>
    <row r="579">
      <c r="A579" s="10">
        <f>Raw_Data!A579</f>
        <v/>
      </c>
      <c r="B579" s="11">
        <f>Raw_Data!B579</f>
        <v/>
      </c>
      <c r="C579" s="11">
        <f>Raw_Data!C579</f>
        <v/>
      </c>
      <c r="D579" s="10">
        <f>Raw_Data!D579</f>
        <v/>
      </c>
      <c r="E579" s="10">
        <f>Raw_Data!E579</f>
        <v/>
      </c>
      <c r="F579" s="11">
        <f>Raw_Data!F579</f>
        <v/>
      </c>
      <c r="G579" s="11">
        <f>Raw_Data!G579</f>
        <v/>
      </c>
      <c r="H579" s="10">
        <f>Raw_Data!H579</f>
        <v/>
      </c>
      <c r="I579" s="10">
        <f>Raw_Data!I579</f>
        <v/>
      </c>
      <c r="J579" s="11">
        <f>Raw_Data!J579</f>
        <v/>
      </c>
      <c r="K579" s="11">
        <f>Raw_Data!K579</f>
        <v/>
      </c>
      <c r="L579" s="11">
        <f>Raw_Data!L579</f>
        <v/>
      </c>
      <c r="M579" s="10">
        <f>Raw_Data!M579</f>
        <v/>
      </c>
      <c r="N579" s="10">
        <f>Raw_Data!N579</f>
        <v/>
      </c>
      <c r="O579" s="10">
        <f>Raw_Data!O579</f>
        <v/>
      </c>
      <c r="P579" s="11">
        <f>Raw_Data!P579</f>
        <v/>
      </c>
      <c r="R579" s="9">
        <f>IFERROR(Cleaned_Data!M579/Cleaned_Data!K579,0)</f>
        <v/>
      </c>
    </row>
    <row r="580">
      <c r="A580" s="7">
        <f>Raw_Data!A580</f>
        <v/>
      </c>
      <c r="B580" s="8">
        <f>Raw_Data!B580</f>
        <v/>
      </c>
      <c r="C580" s="8">
        <f>Raw_Data!C580</f>
        <v/>
      </c>
      <c r="D580" s="7">
        <f>Raw_Data!D580</f>
        <v/>
      </c>
      <c r="E580" s="7">
        <f>Raw_Data!E580</f>
        <v/>
      </c>
      <c r="F580" s="8">
        <f>Raw_Data!F580</f>
        <v/>
      </c>
      <c r="G580" s="8">
        <f>Raw_Data!G580</f>
        <v/>
      </c>
      <c r="H580" s="7">
        <f>Raw_Data!H580</f>
        <v/>
      </c>
      <c r="I580" s="7">
        <f>Raw_Data!I580</f>
        <v/>
      </c>
      <c r="J580" s="8">
        <f>Raw_Data!J580</f>
        <v/>
      </c>
      <c r="K580" s="8">
        <f>Raw_Data!K580</f>
        <v/>
      </c>
      <c r="L580" s="8">
        <f>Raw_Data!L580</f>
        <v/>
      </c>
      <c r="M580" s="7">
        <f>Raw_Data!M580</f>
        <v/>
      </c>
      <c r="N580" s="7">
        <f>Raw_Data!N580</f>
        <v/>
      </c>
      <c r="O580" s="7">
        <f>Raw_Data!O580</f>
        <v/>
      </c>
      <c r="P580" s="8">
        <f>Raw_Data!P580</f>
        <v/>
      </c>
      <c r="R580" s="9">
        <f>IFERROR(Cleaned_Data!M580/Cleaned_Data!K580,0)</f>
        <v/>
      </c>
    </row>
    <row r="581">
      <c r="A581" s="10">
        <f>Raw_Data!A581</f>
        <v/>
      </c>
      <c r="B581" s="11">
        <f>Raw_Data!B581</f>
        <v/>
      </c>
      <c r="C581" s="11">
        <f>Raw_Data!C581</f>
        <v/>
      </c>
      <c r="D581" s="10">
        <f>Raw_Data!D581</f>
        <v/>
      </c>
      <c r="E581" s="10">
        <f>Raw_Data!E581</f>
        <v/>
      </c>
      <c r="F581" s="11">
        <f>Raw_Data!F581</f>
        <v/>
      </c>
      <c r="G581" s="11">
        <f>Raw_Data!G581</f>
        <v/>
      </c>
      <c r="H581" s="10">
        <f>Raw_Data!H581</f>
        <v/>
      </c>
      <c r="I581" s="10">
        <f>Raw_Data!I581</f>
        <v/>
      </c>
      <c r="J581" s="11">
        <f>Raw_Data!J581</f>
        <v/>
      </c>
      <c r="K581" s="11">
        <f>Raw_Data!K581</f>
        <v/>
      </c>
      <c r="L581" s="11">
        <f>Raw_Data!L581</f>
        <v/>
      </c>
      <c r="M581" s="10">
        <f>Raw_Data!M581</f>
        <v/>
      </c>
      <c r="N581" s="10">
        <f>Raw_Data!N581</f>
        <v/>
      </c>
      <c r="O581" s="10">
        <f>Raw_Data!O581</f>
        <v/>
      </c>
      <c r="P581" s="11">
        <f>Raw_Data!P581</f>
        <v/>
      </c>
      <c r="R581" s="9">
        <f>IFERROR(Cleaned_Data!M581/Cleaned_Data!K581,0)</f>
        <v/>
      </c>
    </row>
    <row r="582">
      <c r="A582" s="7">
        <f>Raw_Data!A582</f>
        <v/>
      </c>
      <c r="B582" s="8">
        <f>Raw_Data!B582</f>
        <v/>
      </c>
      <c r="C582" s="8">
        <f>Raw_Data!C582</f>
        <v/>
      </c>
      <c r="D582" s="7">
        <f>Raw_Data!D582</f>
        <v/>
      </c>
      <c r="E582" s="7">
        <f>Raw_Data!E582</f>
        <v/>
      </c>
      <c r="F582" s="8">
        <f>Raw_Data!F582</f>
        <v/>
      </c>
      <c r="G582" s="8">
        <f>Raw_Data!G582</f>
        <v/>
      </c>
      <c r="H582" s="7">
        <f>Raw_Data!H582</f>
        <v/>
      </c>
      <c r="I582" s="7">
        <f>Raw_Data!I582</f>
        <v/>
      </c>
      <c r="J582" s="8">
        <f>Raw_Data!J582</f>
        <v/>
      </c>
      <c r="K582" s="8">
        <f>Raw_Data!K582</f>
        <v/>
      </c>
      <c r="L582" s="8">
        <f>Raw_Data!L582</f>
        <v/>
      </c>
      <c r="M582" s="7">
        <f>Raw_Data!M582</f>
        <v/>
      </c>
      <c r="N582" s="7">
        <f>Raw_Data!N582</f>
        <v/>
      </c>
      <c r="O582" s="7">
        <f>Raw_Data!O582</f>
        <v/>
      </c>
      <c r="P582" s="8">
        <f>Raw_Data!P582</f>
        <v/>
      </c>
      <c r="R582" s="9">
        <f>IFERROR(Cleaned_Data!M582/Cleaned_Data!K582,0)</f>
        <v/>
      </c>
    </row>
    <row r="583">
      <c r="A583" s="10">
        <f>Raw_Data!A583</f>
        <v/>
      </c>
      <c r="B583" s="11">
        <f>Raw_Data!B583</f>
        <v/>
      </c>
      <c r="C583" s="11">
        <f>Raw_Data!C583</f>
        <v/>
      </c>
      <c r="D583" s="10">
        <f>Raw_Data!D583</f>
        <v/>
      </c>
      <c r="E583" s="10">
        <f>Raw_Data!E583</f>
        <v/>
      </c>
      <c r="F583" s="11">
        <f>Raw_Data!F583</f>
        <v/>
      </c>
      <c r="G583" s="11">
        <f>Raw_Data!G583</f>
        <v/>
      </c>
      <c r="H583" s="10">
        <f>Raw_Data!H583</f>
        <v/>
      </c>
      <c r="I583" s="10">
        <f>Raw_Data!I583</f>
        <v/>
      </c>
      <c r="J583" s="11">
        <f>Raw_Data!J583</f>
        <v/>
      </c>
      <c r="K583" s="11">
        <f>Raw_Data!K583</f>
        <v/>
      </c>
      <c r="L583" s="11">
        <f>Raw_Data!L583</f>
        <v/>
      </c>
      <c r="M583" s="10">
        <f>Raw_Data!M583</f>
        <v/>
      </c>
      <c r="N583" s="10">
        <f>Raw_Data!N583</f>
        <v/>
      </c>
      <c r="O583" s="10">
        <f>Raw_Data!O583</f>
        <v/>
      </c>
      <c r="P583" s="11">
        <f>Raw_Data!P583</f>
        <v/>
      </c>
      <c r="R583" s="9">
        <f>IFERROR(Cleaned_Data!M583/Cleaned_Data!K583,0)</f>
        <v/>
      </c>
    </row>
    <row r="584">
      <c r="A584" s="7">
        <f>Raw_Data!A584</f>
        <v/>
      </c>
      <c r="B584" s="8">
        <f>Raw_Data!B584</f>
        <v/>
      </c>
      <c r="C584" s="8">
        <f>Raw_Data!C584</f>
        <v/>
      </c>
      <c r="D584" s="7">
        <f>Raw_Data!D584</f>
        <v/>
      </c>
      <c r="E584" s="7">
        <f>Raw_Data!E584</f>
        <v/>
      </c>
      <c r="F584" s="8">
        <f>Raw_Data!F584</f>
        <v/>
      </c>
      <c r="G584" s="8">
        <f>Raw_Data!G584</f>
        <v/>
      </c>
      <c r="H584" s="7">
        <f>Raw_Data!H584</f>
        <v/>
      </c>
      <c r="I584" s="7">
        <f>Raw_Data!I584</f>
        <v/>
      </c>
      <c r="J584" s="8">
        <f>Raw_Data!J584</f>
        <v/>
      </c>
      <c r="K584" s="8">
        <f>Raw_Data!K584</f>
        <v/>
      </c>
      <c r="L584" s="8">
        <f>Raw_Data!L584</f>
        <v/>
      </c>
      <c r="M584" s="7">
        <f>Raw_Data!M584</f>
        <v/>
      </c>
      <c r="N584" s="7">
        <f>Raw_Data!N584</f>
        <v/>
      </c>
      <c r="O584" s="7">
        <f>Raw_Data!O584</f>
        <v/>
      </c>
      <c r="P584" s="8">
        <f>Raw_Data!P584</f>
        <v/>
      </c>
      <c r="R584" s="9">
        <f>IFERROR(Cleaned_Data!M584/Cleaned_Data!K584,0)</f>
        <v/>
      </c>
    </row>
    <row r="585">
      <c r="A585" s="10">
        <f>Raw_Data!A585</f>
        <v/>
      </c>
      <c r="B585" s="11">
        <f>Raw_Data!B585</f>
        <v/>
      </c>
      <c r="C585" s="11">
        <f>Raw_Data!C585</f>
        <v/>
      </c>
      <c r="D585" s="10">
        <f>Raw_Data!D585</f>
        <v/>
      </c>
      <c r="E585" s="10">
        <f>Raw_Data!E585</f>
        <v/>
      </c>
      <c r="F585" s="11">
        <f>Raw_Data!F585</f>
        <v/>
      </c>
      <c r="G585" s="11">
        <f>Raw_Data!G585</f>
        <v/>
      </c>
      <c r="H585" s="10">
        <f>Raw_Data!H585</f>
        <v/>
      </c>
      <c r="I585" s="10">
        <f>Raw_Data!I585</f>
        <v/>
      </c>
      <c r="J585" s="11">
        <f>Raw_Data!J585</f>
        <v/>
      </c>
      <c r="K585" s="11">
        <f>Raw_Data!K585</f>
        <v/>
      </c>
      <c r="L585" s="11">
        <f>Raw_Data!L585</f>
        <v/>
      </c>
      <c r="M585" s="10">
        <f>Raw_Data!M585</f>
        <v/>
      </c>
      <c r="N585" s="10">
        <f>Raw_Data!N585</f>
        <v/>
      </c>
      <c r="O585" s="10">
        <f>Raw_Data!O585</f>
        <v/>
      </c>
      <c r="P585" s="11">
        <f>Raw_Data!P585</f>
        <v/>
      </c>
      <c r="R585" s="9">
        <f>IFERROR(Cleaned_Data!M585/Cleaned_Data!K585,0)</f>
        <v/>
      </c>
    </row>
    <row r="586">
      <c r="A586" s="7">
        <f>Raw_Data!A586</f>
        <v/>
      </c>
      <c r="B586" s="8">
        <f>Raw_Data!B586</f>
        <v/>
      </c>
      <c r="C586" s="8">
        <f>Raw_Data!C586</f>
        <v/>
      </c>
      <c r="D586" s="7">
        <f>Raw_Data!D586</f>
        <v/>
      </c>
      <c r="E586" s="7">
        <f>Raw_Data!E586</f>
        <v/>
      </c>
      <c r="F586" s="8">
        <f>Raw_Data!F586</f>
        <v/>
      </c>
      <c r="G586" s="8">
        <f>Raw_Data!G586</f>
        <v/>
      </c>
      <c r="H586" s="7">
        <f>Raw_Data!H586</f>
        <v/>
      </c>
      <c r="I586" s="7">
        <f>Raw_Data!I586</f>
        <v/>
      </c>
      <c r="J586" s="8">
        <f>Raw_Data!J586</f>
        <v/>
      </c>
      <c r="K586" s="8">
        <f>Raw_Data!K586</f>
        <v/>
      </c>
      <c r="L586" s="8">
        <f>Raw_Data!L586</f>
        <v/>
      </c>
      <c r="M586" s="7">
        <f>Raw_Data!M586</f>
        <v/>
      </c>
      <c r="N586" s="7">
        <f>Raw_Data!N586</f>
        <v/>
      </c>
      <c r="O586" s="7">
        <f>Raw_Data!O586</f>
        <v/>
      </c>
      <c r="P586" s="8">
        <f>Raw_Data!P586</f>
        <v/>
      </c>
      <c r="R586" s="9">
        <f>IFERROR(Cleaned_Data!M586/Cleaned_Data!K586,0)</f>
        <v/>
      </c>
    </row>
    <row r="587">
      <c r="A587" s="10">
        <f>Raw_Data!A587</f>
        <v/>
      </c>
      <c r="B587" s="11">
        <f>Raw_Data!B587</f>
        <v/>
      </c>
      <c r="C587" s="11">
        <f>Raw_Data!C587</f>
        <v/>
      </c>
      <c r="D587" s="10">
        <f>Raw_Data!D587</f>
        <v/>
      </c>
      <c r="E587" s="10">
        <f>Raw_Data!E587</f>
        <v/>
      </c>
      <c r="F587" s="11">
        <f>Raw_Data!F587</f>
        <v/>
      </c>
      <c r="G587" s="11">
        <f>Raw_Data!G587</f>
        <v/>
      </c>
      <c r="H587" s="10">
        <f>Raw_Data!H587</f>
        <v/>
      </c>
      <c r="I587" s="10">
        <f>Raw_Data!I587</f>
        <v/>
      </c>
      <c r="J587" s="11">
        <f>Raw_Data!J587</f>
        <v/>
      </c>
      <c r="K587" s="11">
        <f>Raw_Data!K587</f>
        <v/>
      </c>
      <c r="L587" s="11">
        <f>Raw_Data!L587</f>
        <v/>
      </c>
      <c r="M587" s="10">
        <f>Raw_Data!M587</f>
        <v/>
      </c>
      <c r="N587" s="10">
        <f>Raw_Data!N587</f>
        <v/>
      </c>
      <c r="O587" s="10">
        <f>Raw_Data!O587</f>
        <v/>
      </c>
      <c r="P587" s="11">
        <f>Raw_Data!P587</f>
        <v/>
      </c>
      <c r="R587" s="9">
        <f>IFERROR(Cleaned_Data!M587/Cleaned_Data!K587,0)</f>
        <v/>
      </c>
    </row>
    <row r="588">
      <c r="A588" s="7">
        <f>Raw_Data!A588</f>
        <v/>
      </c>
      <c r="B588" s="8">
        <f>Raw_Data!B588</f>
        <v/>
      </c>
      <c r="C588" s="8">
        <f>Raw_Data!C588</f>
        <v/>
      </c>
      <c r="D588" s="7">
        <f>Raw_Data!D588</f>
        <v/>
      </c>
      <c r="E588" s="7">
        <f>Raw_Data!E588</f>
        <v/>
      </c>
      <c r="F588" s="8">
        <f>Raw_Data!F588</f>
        <v/>
      </c>
      <c r="G588" s="8">
        <f>Raw_Data!G588</f>
        <v/>
      </c>
      <c r="H588" s="7">
        <f>Raw_Data!H588</f>
        <v/>
      </c>
      <c r="I588" s="7">
        <f>Raw_Data!I588</f>
        <v/>
      </c>
      <c r="J588" s="8">
        <f>Raw_Data!J588</f>
        <v/>
      </c>
      <c r="K588" s="8">
        <f>Raw_Data!K588</f>
        <v/>
      </c>
      <c r="L588" s="8">
        <f>Raw_Data!L588</f>
        <v/>
      </c>
      <c r="M588" s="7">
        <f>Raw_Data!M588</f>
        <v/>
      </c>
      <c r="N588" s="7">
        <f>Raw_Data!N588</f>
        <v/>
      </c>
      <c r="O588" s="7">
        <f>Raw_Data!O588</f>
        <v/>
      </c>
      <c r="P588" s="8">
        <f>Raw_Data!P588</f>
        <v/>
      </c>
      <c r="R588" s="9">
        <f>IFERROR(Cleaned_Data!M588/Cleaned_Data!K588,0)</f>
        <v/>
      </c>
    </row>
    <row r="589">
      <c r="A589" s="10">
        <f>Raw_Data!A589</f>
        <v/>
      </c>
      <c r="B589" s="11">
        <f>Raw_Data!B589</f>
        <v/>
      </c>
      <c r="C589" s="11">
        <f>Raw_Data!C589</f>
        <v/>
      </c>
      <c r="D589" s="10">
        <f>Raw_Data!D589</f>
        <v/>
      </c>
      <c r="E589" s="10">
        <f>Raw_Data!E589</f>
        <v/>
      </c>
      <c r="F589" s="11">
        <f>Raw_Data!F589</f>
        <v/>
      </c>
      <c r="G589" s="11">
        <f>Raw_Data!G589</f>
        <v/>
      </c>
      <c r="H589" s="10">
        <f>Raw_Data!H589</f>
        <v/>
      </c>
      <c r="I589" s="10">
        <f>Raw_Data!I589</f>
        <v/>
      </c>
      <c r="J589" s="11">
        <f>Raw_Data!J589</f>
        <v/>
      </c>
      <c r="K589" s="11">
        <f>Raw_Data!K589</f>
        <v/>
      </c>
      <c r="L589" s="11">
        <f>Raw_Data!L589</f>
        <v/>
      </c>
      <c r="M589" s="10">
        <f>Raw_Data!M589</f>
        <v/>
      </c>
      <c r="N589" s="10">
        <f>Raw_Data!N589</f>
        <v/>
      </c>
      <c r="O589" s="10">
        <f>Raw_Data!O589</f>
        <v/>
      </c>
      <c r="P589" s="11">
        <f>Raw_Data!P589</f>
        <v/>
      </c>
      <c r="R589" s="9">
        <f>IFERROR(Cleaned_Data!M589/Cleaned_Data!K589,0)</f>
        <v/>
      </c>
    </row>
    <row r="590">
      <c r="A590" s="7">
        <f>Raw_Data!A590</f>
        <v/>
      </c>
      <c r="B590" s="8">
        <f>Raw_Data!B590</f>
        <v/>
      </c>
      <c r="C590" s="8">
        <f>Raw_Data!C590</f>
        <v/>
      </c>
      <c r="D590" s="7">
        <f>Raw_Data!D590</f>
        <v/>
      </c>
      <c r="E590" s="7">
        <f>Raw_Data!E590</f>
        <v/>
      </c>
      <c r="F590" s="8">
        <f>Raw_Data!F590</f>
        <v/>
      </c>
      <c r="G590" s="8">
        <f>Raw_Data!G590</f>
        <v/>
      </c>
      <c r="H590" s="7">
        <f>Raw_Data!H590</f>
        <v/>
      </c>
      <c r="I590" s="7">
        <f>Raw_Data!I590</f>
        <v/>
      </c>
      <c r="J590" s="8">
        <f>Raw_Data!J590</f>
        <v/>
      </c>
      <c r="K590" s="8">
        <f>Raw_Data!K590</f>
        <v/>
      </c>
      <c r="L590" s="8">
        <f>Raw_Data!L590</f>
        <v/>
      </c>
      <c r="M590" s="7">
        <f>Raw_Data!M590</f>
        <v/>
      </c>
      <c r="N590" s="7">
        <f>Raw_Data!N590</f>
        <v/>
      </c>
      <c r="O590" s="7">
        <f>Raw_Data!O590</f>
        <v/>
      </c>
      <c r="P590" s="8">
        <f>Raw_Data!P590</f>
        <v/>
      </c>
      <c r="R590" s="9">
        <f>IFERROR(Cleaned_Data!M590/Cleaned_Data!K590,0)</f>
        <v/>
      </c>
    </row>
    <row r="591">
      <c r="A591" s="10">
        <f>Raw_Data!A591</f>
        <v/>
      </c>
      <c r="B591" s="11">
        <f>Raw_Data!B591</f>
        <v/>
      </c>
      <c r="C591" s="11">
        <f>Raw_Data!C591</f>
        <v/>
      </c>
      <c r="D591" s="10">
        <f>Raw_Data!D591</f>
        <v/>
      </c>
      <c r="E591" s="10">
        <f>Raw_Data!E591</f>
        <v/>
      </c>
      <c r="F591" s="11">
        <f>Raw_Data!F591</f>
        <v/>
      </c>
      <c r="G591" s="11">
        <f>Raw_Data!G591</f>
        <v/>
      </c>
      <c r="H591" s="10">
        <f>Raw_Data!H591</f>
        <v/>
      </c>
      <c r="I591" s="10">
        <f>Raw_Data!I591</f>
        <v/>
      </c>
      <c r="J591" s="11">
        <f>Raw_Data!J591</f>
        <v/>
      </c>
      <c r="K591" s="11">
        <f>Raw_Data!K591</f>
        <v/>
      </c>
      <c r="L591" s="11">
        <f>Raw_Data!L591</f>
        <v/>
      </c>
      <c r="M591" s="10">
        <f>Raw_Data!M591</f>
        <v/>
      </c>
      <c r="N591" s="10">
        <f>Raw_Data!N591</f>
        <v/>
      </c>
      <c r="O591" s="10">
        <f>Raw_Data!O591</f>
        <v/>
      </c>
      <c r="P591" s="11">
        <f>Raw_Data!P591</f>
        <v/>
      </c>
      <c r="R591" s="9">
        <f>IFERROR(Cleaned_Data!M591/Cleaned_Data!K591,0)</f>
        <v/>
      </c>
    </row>
    <row r="592">
      <c r="A592" s="7">
        <f>Raw_Data!A592</f>
        <v/>
      </c>
      <c r="B592" s="8">
        <f>Raw_Data!B592</f>
        <v/>
      </c>
      <c r="C592" s="8">
        <f>Raw_Data!C592</f>
        <v/>
      </c>
      <c r="D592" s="7">
        <f>Raw_Data!D592</f>
        <v/>
      </c>
      <c r="E592" s="7">
        <f>Raw_Data!E592</f>
        <v/>
      </c>
      <c r="F592" s="8">
        <f>Raw_Data!F592</f>
        <v/>
      </c>
      <c r="G592" s="8">
        <f>Raw_Data!G592</f>
        <v/>
      </c>
      <c r="H592" s="7">
        <f>Raw_Data!H592</f>
        <v/>
      </c>
      <c r="I592" s="7">
        <f>Raw_Data!I592</f>
        <v/>
      </c>
      <c r="J592" s="8">
        <f>Raw_Data!J592</f>
        <v/>
      </c>
      <c r="K592" s="8">
        <f>Raw_Data!K592</f>
        <v/>
      </c>
      <c r="L592" s="8">
        <f>Raw_Data!L592</f>
        <v/>
      </c>
      <c r="M592" s="7">
        <f>Raw_Data!M592</f>
        <v/>
      </c>
      <c r="N592" s="7">
        <f>Raw_Data!N592</f>
        <v/>
      </c>
      <c r="O592" s="7">
        <f>Raw_Data!O592</f>
        <v/>
      </c>
      <c r="P592" s="8">
        <f>Raw_Data!P592</f>
        <v/>
      </c>
      <c r="R592" s="9">
        <f>IFERROR(Cleaned_Data!M592/Cleaned_Data!K592,0)</f>
        <v/>
      </c>
    </row>
    <row r="593">
      <c r="A593" s="10">
        <f>Raw_Data!A593</f>
        <v/>
      </c>
      <c r="B593" s="11">
        <f>Raw_Data!B593</f>
        <v/>
      </c>
      <c r="C593" s="11">
        <f>Raw_Data!C593</f>
        <v/>
      </c>
      <c r="D593" s="10">
        <f>Raw_Data!D593</f>
        <v/>
      </c>
      <c r="E593" s="10">
        <f>Raw_Data!E593</f>
        <v/>
      </c>
      <c r="F593" s="11">
        <f>Raw_Data!F593</f>
        <v/>
      </c>
      <c r="G593" s="11">
        <f>Raw_Data!G593</f>
        <v/>
      </c>
      <c r="H593" s="10">
        <f>Raw_Data!H593</f>
        <v/>
      </c>
      <c r="I593" s="10">
        <f>Raw_Data!I593</f>
        <v/>
      </c>
      <c r="J593" s="11">
        <f>Raw_Data!J593</f>
        <v/>
      </c>
      <c r="K593" s="11">
        <f>Raw_Data!K593</f>
        <v/>
      </c>
      <c r="L593" s="11">
        <f>Raw_Data!L593</f>
        <v/>
      </c>
      <c r="M593" s="10">
        <f>Raw_Data!M593</f>
        <v/>
      </c>
      <c r="N593" s="10">
        <f>Raw_Data!N593</f>
        <v/>
      </c>
      <c r="O593" s="10">
        <f>Raw_Data!O593</f>
        <v/>
      </c>
      <c r="P593" s="11">
        <f>Raw_Data!P593</f>
        <v/>
      </c>
      <c r="R593" s="9">
        <f>IFERROR(Cleaned_Data!M593/Cleaned_Data!K593,0)</f>
        <v/>
      </c>
    </row>
    <row r="594">
      <c r="A594" s="7">
        <f>Raw_Data!A594</f>
        <v/>
      </c>
      <c r="B594" s="8">
        <f>Raw_Data!B594</f>
        <v/>
      </c>
      <c r="C594" s="8">
        <f>Raw_Data!C594</f>
        <v/>
      </c>
      <c r="D594" s="7">
        <f>Raw_Data!D594</f>
        <v/>
      </c>
      <c r="E594" s="7">
        <f>Raw_Data!E594</f>
        <v/>
      </c>
      <c r="F594" s="8">
        <f>Raw_Data!F594</f>
        <v/>
      </c>
      <c r="G594" s="8">
        <f>Raw_Data!G594</f>
        <v/>
      </c>
      <c r="H594" s="7">
        <f>Raw_Data!H594</f>
        <v/>
      </c>
      <c r="I594" s="7">
        <f>Raw_Data!I594</f>
        <v/>
      </c>
      <c r="J594" s="8">
        <f>Raw_Data!J594</f>
        <v/>
      </c>
      <c r="K594" s="8">
        <f>Raw_Data!K594</f>
        <v/>
      </c>
      <c r="L594" s="8">
        <f>Raw_Data!L594</f>
        <v/>
      </c>
      <c r="M594" s="7">
        <f>Raw_Data!M594</f>
        <v/>
      </c>
      <c r="N594" s="7">
        <f>Raw_Data!N594</f>
        <v/>
      </c>
      <c r="O594" s="7">
        <f>Raw_Data!O594</f>
        <v/>
      </c>
      <c r="P594" s="8">
        <f>Raw_Data!P594</f>
        <v/>
      </c>
      <c r="R594" s="9">
        <f>IFERROR(Cleaned_Data!M594/Cleaned_Data!K594,0)</f>
        <v/>
      </c>
    </row>
    <row r="595">
      <c r="A595" s="10">
        <f>Raw_Data!A595</f>
        <v/>
      </c>
      <c r="B595" s="11">
        <f>Raw_Data!B595</f>
        <v/>
      </c>
      <c r="C595" s="11">
        <f>Raw_Data!C595</f>
        <v/>
      </c>
      <c r="D595" s="10">
        <f>Raw_Data!D595</f>
        <v/>
      </c>
      <c r="E595" s="10">
        <f>Raw_Data!E595</f>
        <v/>
      </c>
      <c r="F595" s="11">
        <f>Raw_Data!F595</f>
        <v/>
      </c>
      <c r="G595" s="11">
        <f>Raw_Data!G595</f>
        <v/>
      </c>
      <c r="H595" s="10">
        <f>Raw_Data!H595</f>
        <v/>
      </c>
      <c r="I595" s="10">
        <f>Raw_Data!I595</f>
        <v/>
      </c>
      <c r="J595" s="11">
        <f>Raw_Data!J595</f>
        <v/>
      </c>
      <c r="K595" s="11">
        <f>Raw_Data!K595</f>
        <v/>
      </c>
      <c r="L595" s="11">
        <f>Raw_Data!L595</f>
        <v/>
      </c>
      <c r="M595" s="10">
        <f>Raw_Data!M595</f>
        <v/>
      </c>
      <c r="N595" s="10">
        <f>Raw_Data!N595</f>
        <v/>
      </c>
      <c r="O595" s="10">
        <f>Raw_Data!O595</f>
        <v/>
      </c>
      <c r="P595" s="11">
        <f>Raw_Data!P595</f>
        <v/>
      </c>
      <c r="R595" s="9">
        <f>IFERROR(Cleaned_Data!M595/Cleaned_Data!K595,0)</f>
        <v/>
      </c>
    </row>
    <row r="596">
      <c r="A596" s="7">
        <f>Raw_Data!A596</f>
        <v/>
      </c>
      <c r="B596" s="8">
        <f>Raw_Data!B596</f>
        <v/>
      </c>
      <c r="C596" s="8">
        <f>Raw_Data!C596</f>
        <v/>
      </c>
      <c r="D596" s="7">
        <f>Raw_Data!D596</f>
        <v/>
      </c>
      <c r="E596" s="7">
        <f>Raw_Data!E596</f>
        <v/>
      </c>
      <c r="F596" s="8">
        <f>Raw_Data!F596</f>
        <v/>
      </c>
      <c r="G596" s="8">
        <f>Raw_Data!G596</f>
        <v/>
      </c>
      <c r="H596" s="7">
        <f>Raw_Data!H596</f>
        <v/>
      </c>
      <c r="I596" s="7">
        <f>Raw_Data!I596</f>
        <v/>
      </c>
      <c r="J596" s="8">
        <f>Raw_Data!J596</f>
        <v/>
      </c>
      <c r="K596" s="8">
        <f>Raw_Data!K596</f>
        <v/>
      </c>
      <c r="L596" s="8">
        <f>Raw_Data!L596</f>
        <v/>
      </c>
      <c r="M596" s="7">
        <f>Raw_Data!M596</f>
        <v/>
      </c>
      <c r="N596" s="7">
        <f>Raw_Data!N596</f>
        <v/>
      </c>
      <c r="O596" s="7">
        <f>Raw_Data!O596</f>
        <v/>
      </c>
      <c r="P596" s="8">
        <f>Raw_Data!P596</f>
        <v/>
      </c>
      <c r="R596" s="9">
        <f>IFERROR(Cleaned_Data!M596/Cleaned_Data!K596,0)</f>
        <v/>
      </c>
    </row>
    <row r="597">
      <c r="A597" s="10">
        <f>Raw_Data!A597</f>
        <v/>
      </c>
      <c r="B597" s="11">
        <f>Raw_Data!B597</f>
        <v/>
      </c>
      <c r="C597" s="11">
        <f>Raw_Data!C597</f>
        <v/>
      </c>
      <c r="D597" s="10">
        <f>Raw_Data!D597</f>
        <v/>
      </c>
      <c r="E597" s="10">
        <f>Raw_Data!E597</f>
        <v/>
      </c>
      <c r="F597" s="11">
        <f>Raw_Data!F597</f>
        <v/>
      </c>
      <c r="G597" s="11">
        <f>Raw_Data!G597</f>
        <v/>
      </c>
      <c r="H597" s="10">
        <f>Raw_Data!H597</f>
        <v/>
      </c>
      <c r="I597" s="10">
        <f>Raw_Data!I597</f>
        <v/>
      </c>
      <c r="J597" s="11">
        <f>Raw_Data!J597</f>
        <v/>
      </c>
      <c r="K597" s="11">
        <f>Raw_Data!K597</f>
        <v/>
      </c>
      <c r="L597" s="11">
        <f>Raw_Data!L597</f>
        <v/>
      </c>
      <c r="M597" s="10">
        <f>Raw_Data!M597</f>
        <v/>
      </c>
      <c r="N597" s="10">
        <f>Raw_Data!N597</f>
        <v/>
      </c>
      <c r="O597" s="10">
        <f>Raw_Data!O597</f>
        <v/>
      </c>
      <c r="P597" s="11">
        <f>Raw_Data!P597</f>
        <v/>
      </c>
      <c r="R597" s="9">
        <f>IFERROR(Cleaned_Data!M597/Cleaned_Data!K597,0)</f>
        <v/>
      </c>
    </row>
    <row r="598">
      <c r="A598" s="7">
        <f>Raw_Data!A598</f>
        <v/>
      </c>
      <c r="B598" s="8">
        <f>Raw_Data!B598</f>
        <v/>
      </c>
      <c r="C598" s="8">
        <f>Raw_Data!C598</f>
        <v/>
      </c>
      <c r="D598" s="7">
        <f>Raw_Data!D598</f>
        <v/>
      </c>
      <c r="E598" s="7">
        <f>Raw_Data!E598</f>
        <v/>
      </c>
      <c r="F598" s="8">
        <f>Raw_Data!F598</f>
        <v/>
      </c>
      <c r="G598" s="8">
        <f>Raw_Data!G598</f>
        <v/>
      </c>
      <c r="H598" s="7">
        <f>Raw_Data!H598</f>
        <v/>
      </c>
      <c r="I598" s="7">
        <f>Raw_Data!I598</f>
        <v/>
      </c>
      <c r="J598" s="8">
        <f>Raw_Data!J598</f>
        <v/>
      </c>
      <c r="K598" s="8">
        <f>Raw_Data!K598</f>
        <v/>
      </c>
      <c r="L598" s="8">
        <f>Raw_Data!L598</f>
        <v/>
      </c>
      <c r="M598" s="7">
        <f>Raw_Data!M598</f>
        <v/>
      </c>
      <c r="N598" s="7">
        <f>Raw_Data!N598</f>
        <v/>
      </c>
      <c r="O598" s="7">
        <f>Raw_Data!O598</f>
        <v/>
      </c>
      <c r="P598" s="8">
        <f>Raw_Data!P598</f>
        <v/>
      </c>
      <c r="R598" s="9">
        <f>IFERROR(Cleaned_Data!M598/Cleaned_Data!K598,0)</f>
        <v/>
      </c>
    </row>
    <row r="599">
      <c r="A599" s="10">
        <f>Raw_Data!A599</f>
        <v/>
      </c>
      <c r="B599" s="11">
        <f>Raw_Data!B599</f>
        <v/>
      </c>
      <c r="C599" s="11">
        <f>Raw_Data!C599</f>
        <v/>
      </c>
      <c r="D599" s="10">
        <f>Raw_Data!D599</f>
        <v/>
      </c>
      <c r="E599" s="10">
        <f>Raw_Data!E599</f>
        <v/>
      </c>
      <c r="F599" s="11">
        <f>Raw_Data!F599</f>
        <v/>
      </c>
      <c r="G599" s="11">
        <f>Raw_Data!G599</f>
        <v/>
      </c>
      <c r="H599" s="10">
        <f>Raw_Data!H599</f>
        <v/>
      </c>
      <c r="I599" s="10">
        <f>Raw_Data!I599</f>
        <v/>
      </c>
      <c r="J599" s="11">
        <f>Raw_Data!J599</f>
        <v/>
      </c>
      <c r="K599" s="11">
        <f>Raw_Data!K599</f>
        <v/>
      </c>
      <c r="L599" s="11">
        <f>Raw_Data!L599</f>
        <v/>
      </c>
      <c r="M599" s="10">
        <f>Raw_Data!M599</f>
        <v/>
      </c>
      <c r="N599" s="10">
        <f>Raw_Data!N599</f>
        <v/>
      </c>
      <c r="O599" s="10">
        <f>Raw_Data!O599</f>
        <v/>
      </c>
      <c r="P599" s="11">
        <f>Raw_Data!P599</f>
        <v/>
      </c>
      <c r="R599" s="9">
        <f>IFERROR(Cleaned_Data!M599/Cleaned_Data!K599,0)</f>
        <v/>
      </c>
    </row>
    <row r="600">
      <c r="A600" s="7">
        <f>Raw_Data!A600</f>
        <v/>
      </c>
      <c r="B600" s="8">
        <f>Raw_Data!B600</f>
        <v/>
      </c>
      <c r="C600" s="8">
        <f>Raw_Data!C600</f>
        <v/>
      </c>
      <c r="D600" s="7">
        <f>Raw_Data!D600</f>
        <v/>
      </c>
      <c r="E600" s="7">
        <f>Raw_Data!E600</f>
        <v/>
      </c>
      <c r="F600" s="8">
        <f>Raw_Data!F600</f>
        <v/>
      </c>
      <c r="G600" s="8">
        <f>Raw_Data!G600</f>
        <v/>
      </c>
      <c r="H600" s="7">
        <f>Raw_Data!H600</f>
        <v/>
      </c>
      <c r="I600" s="7">
        <f>Raw_Data!I600</f>
        <v/>
      </c>
      <c r="J600" s="8">
        <f>Raw_Data!J600</f>
        <v/>
      </c>
      <c r="K600" s="8">
        <f>Raw_Data!K600</f>
        <v/>
      </c>
      <c r="L600" s="8">
        <f>Raw_Data!L600</f>
        <v/>
      </c>
      <c r="M600" s="7">
        <f>Raw_Data!M600</f>
        <v/>
      </c>
      <c r="N600" s="7">
        <f>Raw_Data!N600</f>
        <v/>
      </c>
      <c r="O600" s="7">
        <f>Raw_Data!O600</f>
        <v/>
      </c>
      <c r="P600" s="8">
        <f>Raw_Data!P600</f>
        <v/>
      </c>
      <c r="R600" s="9">
        <f>IFERROR(Cleaned_Data!M600/Cleaned_Data!K600,0)</f>
        <v/>
      </c>
    </row>
    <row r="601">
      <c r="A601" s="10">
        <f>Raw_Data!A601</f>
        <v/>
      </c>
      <c r="B601" s="11">
        <f>Raw_Data!B601</f>
        <v/>
      </c>
      <c r="C601" s="11">
        <f>Raw_Data!C601</f>
        <v/>
      </c>
      <c r="D601" s="10">
        <f>Raw_Data!D601</f>
        <v/>
      </c>
      <c r="E601" s="10">
        <f>Raw_Data!E601</f>
        <v/>
      </c>
      <c r="F601" s="11">
        <f>Raw_Data!F601</f>
        <v/>
      </c>
      <c r="G601" s="11">
        <f>Raw_Data!G601</f>
        <v/>
      </c>
      <c r="H601" s="10">
        <f>Raw_Data!H601</f>
        <v/>
      </c>
      <c r="I601" s="10">
        <f>Raw_Data!I601</f>
        <v/>
      </c>
      <c r="J601" s="11">
        <f>Raw_Data!J601</f>
        <v/>
      </c>
      <c r="K601" s="11">
        <f>Raw_Data!K601</f>
        <v/>
      </c>
      <c r="L601" s="11">
        <f>Raw_Data!L601</f>
        <v/>
      </c>
      <c r="M601" s="10">
        <f>Raw_Data!M601</f>
        <v/>
      </c>
      <c r="N601" s="10">
        <f>Raw_Data!N601</f>
        <v/>
      </c>
      <c r="O601" s="10">
        <f>Raw_Data!O601</f>
        <v/>
      </c>
      <c r="P601" s="11">
        <f>Raw_Data!P601</f>
        <v/>
      </c>
      <c r="R601" s="9">
        <f>IFERROR(Cleaned_Data!M601/Cleaned_Data!K601,0)</f>
        <v/>
      </c>
    </row>
    <row r="602">
      <c r="A602" s="7">
        <f>Raw_Data!A602</f>
        <v/>
      </c>
      <c r="B602" s="8">
        <f>Raw_Data!B602</f>
        <v/>
      </c>
      <c r="C602" s="8">
        <f>Raw_Data!C602</f>
        <v/>
      </c>
      <c r="D602" s="7">
        <f>Raw_Data!D602</f>
        <v/>
      </c>
      <c r="E602" s="7">
        <f>Raw_Data!E602</f>
        <v/>
      </c>
      <c r="F602" s="8">
        <f>Raw_Data!F602</f>
        <v/>
      </c>
      <c r="G602" s="8">
        <f>Raw_Data!G602</f>
        <v/>
      </c>
      <c r="H602" s="7">
        <f>Raw_Data!H602</f>
        <v/>
      </c>
      <c r="I602" s="7">
        <f>Raw_Data!I602</f>
        <v/>
      </c>
      <c r="J602" s="8">
        <f>Raw_Data!J602</f>
        <v/>
      </c>
      <c r="K602" s="8">
        <f>Raw_Data!K602</f>
        <v/>
      </c>
      <c r="L602" s="8">
        <f>Raw_Data!L602</f>
        <v/>
      </c>
      <c r="M602" s="7">
        <f>Raw_Data!M602</f>
        <v/>
      </c>
      <c r="N602" s="7">
        <f>Raw_Data!N602</f>
        <v/>
      </c>
      <c r="O602" s="7">
        <f>Raw_Data!O602</f>
        <v/>
      </c>
      <c r="P602" s="8">
        <f>Raw_Data!P602</f>
        <v/>
      </c>
      <c r="R602" s="9">
        <f>IFERROR(Cleaned_Data!M602/Cleaned_Data!K602,0)</f>
        <v/>
      </c>
    </row>
    <row r="603">
      <c r="A603" s="10">
        <f>Raw_Data!A603</f>
        <v/>
      </c>
      <c r="B603" s="11">
        <f>Raw_Data!B603</f>
        <v/>
      </c>
      <c r="C603" s="11">
        <f>Raw_Data!C603</f>
        <v/>
      </c>
      <c r="D603" s="10">
        <f>Raw_Data!D603</f>
        <v/>
      </c>
      <c r="E603" s="10">
        <f>Raw_Data!E603</f>
        <v/>
      </c>
      <c r="F603" s="11">
        <f>Raw_Data!F603</f>
        <v/>
      </c>
      <c r="G603" s="11">
        <f>Raw_Data!G603</f>
        <v/>
      </c>
      <c r="H603" s="10">
        <f>Raw_Data!H603</f>
        <v/>
      </c>
      <c r="I603" s="10">
        <f>Raw_Data!I603</f>
        <v/>
      </c>
      <c r="J603" s="11">
        <f>Raw_Data!J603</f>
        <v/>
      </c>
      <c r="K603" s="11">
        <f>Raw_Data!K603</f>
        <v/>
      </c>
      <c r="L603" s="11">
        <f>Raw_Data!L603</f>
        <v/>
      </c>
      <c r="M603" s="10">
        <f>Raw_Data!M603</f>
        <v/>
      </c>
      <c r="N603" s="10">
        <f>Raw_Data!N603</f>
        <v/>
      </c>
      <c r="O603" s="10">
        <f>Raw_Data!O603</f>
        <v/>
      </c>
      <c r="P603" s="11">
        <f>Raw_Data!P603</f>
        <v/>
      </c>
      <c r="R603" s="9">
        <f>IFERROR(Cleaned_Data!M603/Cleaned_Data!K603,0)</f>
        <v/>
      </c>
    </row>
    <row r="604">
      <c r="A604" s="7">
        <f>Raw_Data!A604</f>
        <v/>
      </c>
      <c r="B604" s="8">
        <f>Raw_Data!B604</f>
        <v/>
      </c>
      <c r="C604" s="8">
        <f>Raw_Data!C604</f>
        <v/>
      </c>
      <c r="D604" s="7">
        <f>Raw_Data!D604</f>
        <v/>
      </c>
      <c r="E604" s="7">
        <f>Raw_Data!E604</f>
        <v/>
      </c>
      <c r="F604" s="8">
        <f>Raw_Data!F604</f>
        <v/>
      </c>
      <c r="G604" s="8">
        <f>Raw_Data!G604</f>
        <v/>
      </c>
      <c r="H604" s="7">
        <f>Raw_Data!H604</f>
        <v/>
      </c>
      <c r="I604" s="7">
        <f>Raw_Data!I604</f>
        <v/>
      </c>
      <c r="J604" s="8">
        <f>Raw_Data!J604</f>
        <v/>
      </c>
      <c r="K604" s="8">
        <f>Raw_Data!K604</f>
        <v/>
      </c>
      <c r="L604" s="8">
        <f>Raw_Data!L604</f>
        <v/>
      </c>
      <c r="M604" s="7">
        <f>Raw_Data!M604</f>
        <v/>
      </c>
      <c r="N604" s="7">
        <f>Raw_Data!N604</f>
        <v/>
      </c>
      <c r="O604" s="7">
        <f>Raw_Data!O604</f>
        <v/>
      </c>
      <c r="P604" s="8">
        <f>Raw_Data!P604</f>
        <v/>
      </c>
      <c r="R604" s="9">
        <f>IFERROR(Cleaned_Data!M604/Cleaned_Data!K604,0)</f>
        <v/>
      </c>
    </row>
    <row r="605">
      <c r="A605" s="10">
        <f>Raw_Data!A605</f>
        <v/>
      </c>
      <c r="B605" s="11">
        <f>Raw_Data!B605</f>
        <v/>
      </c>
      <c r="C605" s="11">
        <f>Raw_Data!C605</f>
        <v/>
      </c>
      <c r="D605" s="10">
        <f>Raw_Data!D605</f>
        <v/>
      </c>
      <c r="E605" s="10">
        <f>Raw_Data!E605</f>
        <v/>
      </c>
      <c r="F605" s="11">
        <f>Raw_Data!F605</f>
        <v/>
      </c>
      <c r="G605" s="11">
        <f>Raw_Data!G605</f>
        <v/>
      </c>
      <c r="H605" s="10">
        <f>Raw_Data!H605</f>
        <v/>
      </c>
      <c r="I605" s="10">
        <f>Raw_Data!I605</f>
        <v/>
      </c>
      <c r="J605" s="11">
        <f>Raw_Data!J605</f>
        <v/>
      </c>
      <c r="K605" s="11">
        <f>Raw_Data!K605</f>
        <v/>
      </c>
      <c r="L605" s="11">
        <f>Raw_Data!L605</f>
        <v/>
      </c>
      <c r="M605" s="10">
        <f>Raw_Data!M605</f>
        <v/>
      </c>
      <c r="N605" s="10">
        <f>Raw_Data!N605</f>
        <v/>
      </c>
      <c r="O605" s="10">
        <f>Raw_Data!O605</f>
        <v/>
      </c>
      <c r="P605" s="11">
        <f>Raw_Data!P605</f>
        <v/>
      </c>
      <c r="R605" s="9">
        <f>IFERROR(Cleaned_Data!M605/Cleaned_Data!K605,0)</f>
        <v/>
      </c>
    </row>
    <row r="606">
      <c r="A606" s="7">
        <f>Raw_Data!A606</f>
        <v/>
      </c>
      <c r="B606" s="8">
        <f>Raw_Data!B606</f>
        <v/>
      </c>
      <c r="C606" s="8">
        <f>Raw_Data!C606</f>
        <v/>
      </c>
      <c r="D606" s="7">
        <f>Raw_Data!D606</f>
        <v/>
      </c>
      <c r="E606" s="7">
        <f>Raw_Data!E606</f>
        <v/>
      </c>
      <c r="F606" s="8">
        <f>Raw_Data!F606</f>
        <v/>
      </c>
      <c r="G606" s="8">
        <f>Raw_Data!G606</f>
        <v/>
      </c>
      <c r="H606" s="7">
        <f>Raw_Data!H606</f>
        <v/>
      </c>
      <c r="I606" s="7">
        <f>Raw_Data!I606</f>
        <v/>
      </c>
      <c r="J606" s="8">
        <f>Raw_Data!J606</f>
        <v/>
      </c>
      <c r="K606" s="8">
        <f>Raw_Data!K606</f>
        <v/>
      </c>
      <c r="L606" s="8">
        <f>Raw_Data!L606</f>
        <v/>
      </c>
      <c r="M606" s="7">
        <f>Raw_Data!M606</f>
        <v/>
      </c>
      <c r="N606" s="7">
        <f>Raw_Data!N606</f>
        <v/>
      </c>
      <c r="O606" s="7">
        <f>Raw_Data!O606</f>
        <v/>
      </c>
      <c r="P606" s="8">
        <f>Raw_Data!P606</f>
        <v/>
      </c>
      <c r="R606" s="9">
        <f>IFERROR(Cleaned_Data!M606/Cleaned_Data!K606,0)</f>
        <v/>
      </c>
    </row>
    <row r="607">
      <c r="A607" s="10">
        <f>Raw_Data!A607</f>
        <v/>
      </c>
      <c r="B607" s="11">
        <f>Raw_Data!B607</f>
        <v/>
      </c>
      <c r="C607" s="11">
        <f>Raw_Data!C607</f>
        <v/>
      </c>
      <c r="D607" s="10">
        <f>Raw_Data!D607</f>
        <v/>
      </c>
      <c r="E607" s="10">
        <f>Raw_Data!E607</f>
        <v/>
      </c>
      <c r="F607" s="11">
        <f>Raw_Data!F607</f>
        <v/>
      </c>
      <c r="G607" s="11">
        <f>Raw_Data!G607</f>
        <v/>
      </c>
      <c r="H607" s="10">
        <f>Raw_Data!H607</f>
        <v/>
      </c>
      <c r="I607" s="10">
        <f>Raw_Data!I607</f>
        <v/>
      </c>
      <c r="J607" s="11">
        <f>Raw_Data!J607</f>
        <v/>
      </c>
      <c r="K607" s="11">
        <f>Raw_Data!K607</f>
        <v/>
      </c>
      <c r="L607" s="11">
        <f>Raw_Data!L607</f>
        <v/>
      </c>
      <c r="M607" s="10">
        <f>Raw_Data!M607</f>
        <v/>
      </c>
      <c r="N607" s="10">
        <f>Raw_Data!N607</f>
        <v/>
      </c>
      <c r="O607" s="10">
        <f>Raw_Data!O607</f>
        <v/>
      </c>
      <c r="P607" s="11">
        <f>Raw_Data!P607</f>
        <v/>
      </c>
      <c r="R607" s="9">
        <f>IFERROR(Cleaned_Data!M607/Cleaned_Data!K607,0)</f>
        <v/>
      </c>
    </row>
    <row r="608">
      <c r="A608" s="7">
        <f>Raw_Data!A608</f>
        <v/>
      </c>
      <c r="B608" s="8">
        <f>Raw_Data!B608</f>
        <v/>
      </c>
      <c r="C608" s="8">
        <f>Raw_Data!C608</f>
        <v/>
      </c>
      <c r="D608" s="7">
        <f>Raw_Data!D608</f>
        <v/>
      </c>
      <c r="E608" s="7">
        <f>Raw_Data!E608</f>
        <v/>
      </c>
      <c r="F608" s="8">
        <f>Raw_Data!F608</f>
        <v/>
      </c>
      <c r="G608" s="8">
        <f>Raw_Data!G608</f>
        <v/>
      </c>
      <c r="H608" s="7">
        <f>Raw_Data!H608</f>
        <v/>
      </c>
      <c r="I608" s="7">
        <f>Raw_Data!I608</f>
        <v/>
      </c>
      <c r="J608" s="8">
        <f>Raw_Data!J608</f>
        <v/>
      </c>
      <c r="K608" s="8">
        <f>Raw_Data!K608</f>
        <v/>
      </c>
      <c r="L608" s="8">
        <f>Raw_Data!L608</f>
        <v/>
      </c>
      <c r="M608" s="7">
        <f>Raw_Data!M608</f>
        <v/>
      </c>
      <c r="N608" s="7">
        <f>Raw_Data!N608</f>
        <v/>
      </c>
      <c r="O608" s="7">
        <f>Raw_Data!O608</f>
        <v/>
      </c>
      <c r="P608" s="8">
        <f>Raw_Data!P608</f>
        <v/>
      </c>
      <c r="R608" s="9">
        <f>IFERROR(Cleaned_Data!M608/Cleaned_Data!K608,0)</f>
        <v/>
      </c>
    </row>
    <row r="609">
      <c r="A609" s="10">
        <f>Raw_Data!A609</f>
        <v/>
      </c>
      <c r="B609" s="11">
        <f>Raw_Data!B609</f>
        <v/>
      </c>
      <c r="C609" s="11">
        <f>Raw_Data!C609</f>
        <v/>
      </c>
      <c r="D609" s="10">
        <f>Raw_Data!D609</f>
        <v/>
      </c>
      <c r="E609" s="10">
        <f>Raw_Data!E609</f>
        <v/>
      </c>
      <c r="F609" s="11">
        <f>Raw_Data!F609</f>
        <v/>
      </c>
      <c r="G609" s="11">
        <f>Raw_Data!G609</f>
        <v/>
      </c>
      <c r="H609" s="10">
        <f>Raw_Data!H609</f>
        <v/>
      </c>
      <c r="I609" s="10">
        <f>Raw_Data!I609</f>
        <v/>
      </c>
      <c r="J609" s="11">
        <f>Raw_Data!J609</f>
        <v/>
      </c>
      <c r="K609" s="11">
        <f>Raw_Data!K609</f>
        <v/>
      </c>
      <c r="L609" s="11">
        <f>Raw_Data!L609</f>
        <v/>
      </c>
      <c r="M609" s="10">
        <f>Raw_Data!M609</f>
        <v/>
      </c>
      <c r="N609" s="10">
        <f>Raw_Data!N609</f>
        <v/>
      </c>
      <c r="O609" s="10">
        <f>Raw_Data!O609</f>
        <v/>
      </c>
      <c r="P609" s="11">
        <f>Raw_Data!P609</f>
        <v/>
      </c>
      <c r="R609" s="9">
        <f>IFERROR(Cleaned_Data!M609/Cleaned_Data!K609,0)</f>
        <v/>
      </c>
    </row>
    <row r="610">
      <c r="A610" s="7">
        <f>Raw_Data!A610</f>
        <v/>
      </c>
      <c r="B610" s="8">
        <f>Raw_Data!B610</f>
        <v/>
      </c>
      <c r="C610" s="8">
        <f>Raw_Data!C610</f>
        <v/>
      </c>
      <c r="D610" s="7">
        <f>Raw_Data!D610</f>
        <v/>
      </c>
      <c r="E610" s="7">
        <f>Raw_Data!E610</f>
        <v/>
      </c>
      <c r="F610" s="8">
        <f>Raw_Data!F610</f>
        <v/>
      </c>
      <c r="G610" s="8">
        <f>Raw_Data!G610</f>
        <v/>
      </c>
      <c r="H610" s="7">
        <f>Raw_Data!H610</f>
        <v/>
      </c>
      <c r="I610" s="7">
        <f>Raw_Data!I610</f>
        <v/>
      </c>
      <c r="J610" s="8">
        <f>Raw_Data!J610</f>
        <v/>
      </c>
      <c r="K610" s="8">
        <f>Raw_Data!K610</f>
        <v/>
      </c>
      <c r="L610" s="8">
        <f>Raw_Data!L610</f>
        <v/>
      </c>
      <c r="M610" s="7">
        <f>Raw_Data!M610</f>
        <v/>
      </c>
      <c r="N610" s="7">
        <f>Raw_Data!N610</f>
        <v/>
      </c>
      <c r="O610" s="7">
        <f>Raw_Data!O610</f>
        <v/>
      </c>
      <c r="P610" s="8">
        <f>Raw_Data!P610</f>
        <v/>
      </c>
      <c r="R610" s="9">
        <f>IFERROR(Cleaned_Data!M610/Cleaned_Data!K610,0)</f>
        <v/>
      </c>
    </row>
    <row r="611">
      <c r="A611" s="10">
        <f>Raw_Data!A611</f>
        <v/>
      </c>
      <c r="B611" s="11">
        <f>Raw_Data!B611</f>
        <v/>
      </c>
      <c r="C611" s="11">
        <f>Raw_Data!C611</f>
        <v/>
      </c>
      <c r="D611" s="10">
        <f>Raw_Data!D611</f>
        <v/>
      </c>
      <c r="E611" s="10">
        <f>Raw_Data!E611</f>
        <v/>
      </c>
      <c r="F611" s="11">
        <f>Raw_Data!F611</f>
        <v/>
      </c>
      <c r="G611" s="11">
        <f>Raw_Data!G611</f>
        <v/>
      </c>
      <c r="H611" s="10">
        <f>Raw_Data!H611</f>
        <v/>
      </c>
      <c r="I611" s="10">
        <f>Raw_Data!I611</f>
        <v/>
      </c>
      <c r="J611" s="11">
        <f>Raw_Data!J611</f>
        <v/>
      </c>
      <c r="K611" s="11">
        <f>Raw_Data!K611</f>
        <v/>
      </c>
      <c r="L611" s="11">
        <f>Raw_Data!L611</f>
        <v/>
      </c>
      <c r="M611" s="10">
        <f>Raw_Data!M611</f>
        <v/>
      </c>
      <c r="N611" s="10">
        <f>Raw_Data!N611</f>
        <v/>
      </c>
      <c r="O611" s="10">
        <f>Raw_Data!O611</f>
        <v/>
      </c>
      <c r="P611" s="11">
        <f>Raw_Data!P611</f>
        <v/>
      </c>
      <c r="R611" s="9">
        <f>IFERROR(Cleaned_Data!M611/Cleaned_Data!K611,0)</f>
        <v/>
      </c>
    </row>
    <row r="612">
      <c r="A612" s="7">
        <f>Raw_Data!A612</f>
        <v/>
      </c>
      <c r="B612" s="8">
        <f>Raw_Data!B612</f>
        <v/>
      </c>
      <c r="C612" s="8">
        <f>Raw_Data!C612</f>
        <v/>
      </c>
      <c r="D612" s="7">
        <f>Raw_Data!D612</f>
        <v/>
      </c>
      <c r="E612" s="7">
        <f>Raw_Data!E612</f>
        <v/>
      </c>
      <c r="F612" s="8">
        <f>Raw_Data!F612</f>
        <v/>
      </c>
      <c r="G612" s="8">
        <f>Raw_Data!G612</f>
        <v/>
      </c>
      <c r="H612" s="7">
        <f>Raw_Data!H612</f>
        <v/>
      </c>
      <c r="I612" s="7">
        <f>Raw_Data!I612</f>
        <v/>
      </c>
      <c r="J612" s="8">
        <f>Raw_Data!J612</f>
        <v/>
      </c>
      <c r="K612" s="8">
        <f>Raw_Data!K612</f>
        <v/>
      </c>
      <c r="L612" s="8">
        <f>Raw_Data!L612</f>
        <v/>
      </c>
      <c r="M612" s="7">
        <f>Raw_Data!M612</f>
        <v/>
      </c>
      <c r="N612" s="7">
        <f>Raw_Data!N612</f>
        <v/>
      </c>
      <c r="O612" s="7">
        <f>Raw_Data!O612</f>
        <v/>
      </c>
      <c r="P612" s="8">
        <f>Raw_Data!P612</f>
        <v/>
      </c>
      <c r="R612" s="9">
        <f>IFERROR(Cleaned_Data!M612/Cleaned_Data!K612,0)</f>
        <v/>
      </c>
    </row>
    <row r="613">
      <c r="A613" s="10">
        <f>Raw_Data!A613</f>
        <v/>
      </c>
      <c r="B613" s="11">
        <f>Raw_Data!B613</f>
        <v/>
      </c>
      <c r="C613" s="11">
        <f>Raw_Data!C613</f>
        <v/>
      </c>
      <c r="D613" s="10">
        <f>Raw_Data!D613</f>
        <v/>
      </c>
      <c r="E613" s="10">
        <f>Raw_Data!E613</f>
        <v/>
      </c>
      <c r="F613" s="11">
        <f>Raw_Data!F613</f>
        <v/>
      </c>
      <c r="G613" s="11">
        <f>Raw_Data!G613</f>
        <v/>
      </c>
      <c r="H613" s="10">
        <f>Raw_Data!H613</f>
        <v/>
      </c>
      <c r="I613" s="10">
        <f>Raw_Data!I613</f>
        <v/>
      </c>
      <c r="J613" s="11">
        <f>Raw_Data!J613</f>
        <v/>
      </c>
      <c r="K613" s="11">
        <f>Raw_Data!K613</f>
        <v/>
      </c>
      <c r="L613" s="11">
        <f>Raw_Data!L613</f>
        <v/>
      </c>
      <c r="M613" s="10">
        <f>Raw_Data!M613</f>
        <v/>
      </c>
      <c r="N613" s="10">
        <f>Raw_Data!N613</f>
        <v/>
      </c>
      <c r="O613" s="10">
        <f>Raw_Data!O613</f>
        <v/>
      </c>
      <c r="P613" s="11">
        <f>Raw_Data!P613</f>
        <v/>
      </c>
      <c r="R613" s="9">
        <f>IFERROR(Cleaned_Data!M613/Cleaned_Data!K613,0)</f>
        <v/>
      </c>
    </row>
    <row r="614">
      <c r="A614" s="7">
        <f>Raw_Data!A614</f>
        <v/>
      </c>
      <c r="B614" s="8">
        <f>Raw_Data!B614</f>
        <v/>
      </c>
      <c r="C614" s="8">
        <f>Raw_Data!C614</f>
        <v/>
      </c>
      <c r="D614" s="7">
        <f>Raw_Data!D614</f>
        <v/>
      </c>
      <c r="E614" s="7">
        <f>Raw_Data!E614</f>
        <v/>
      </c>
      <c r="F614" s="8">
        <f>Raw_Data!F614</f>
        <v/>
      </c>
      <c r="G614" s="8">
        <f>Raw_Data!G614</f>
        <v/>
      </c>
      <c r="H614" s="7">
        <f>Raw_Data!H614</f>
        <v/>
      </c>
      <c r="I614" s="7">
        <f>Raw_Data!I614</f>
        <v/>
      </c>
      <c r="J614" s="8">
        <f>Raw_Data!J614</f>
        <v/>
      </c>
      <c r="K614" s="8">
        <f>Raw_Data!K614</f>
        <v/>
      </c>
      <c r="L614" s="8">
        <f>Raw_Data!L614</f>
        <v/>
      </c>
      <c r="M614" s="7">
        <f>Raw_Data!M614</f>
        <v/>
      </c>
      <c r="N614" s="7">
        <f>Raw_Data!N614</f>
        <v/>
      </c>
      <c r="O614" s="7">
        <f>Raw_Data!O614</f>
        <v/>
      </c>
      <c r="P614" s="8">
        <f>Raw_Data!P614</f>
        <v/>
      </c>
      <c r="R614" s="9">
        <f>IFERROR(Cleaned_Data!M614/Cleaned_Data!K614,0)</f>
        <v/>
      </c>
    </row>
    <row r="615">
      <c r="A615" s="10">
        <f>Raw_Data!A615</f>
        <v/>
      </c>
      <c r="B615" s="11">
        <f>Raw_Data!B615</f>
        <v/>
      </c>
      <c r="C615" s="11">
        <f>Raw_Data!C615</f>
        <v/>
      </c>
      <c r="D615" s="10">
        <f>Raw_Data!D615</f>
        <v/>
      </c>
      <c r="E615" s="10">
        <f>Raw_Data!E615</f>
        <v/>
      </c>
      <c r="F615" s="11">
        <f>Raw_Data!F615</f>
        <v/>
      </c>
      <c r="G615" s="11">
        <f>Raw_Data!G615</f>
        <v/>
      </c>
      <c r="H615" s="10">
        <f>Raw_Data!H615</f>
        <v/>
      </c>
      <c r="I615" s="10">
        <f>Raw_Data!I615</f>
        <v/>
      </c>
      <c r="J615" s="11">
        <f>Raw_Data!J615</f>
        <v/>
      </c>
      <c r="K615" s="11">
        <f>Raw_Data!K615</f>
        <v/>
      </c>
      <c r="L615" s="11">
        <f>Raw_Data!L615</f>
        <v/>
      </c>
      <c r="M615" s="10">
        <f>Raw_Data!M615</f>
        <v/>
      </c>
      <c r="N615" s="10">
        <f>Raw_Data!N615</f>
        <v/>
      </c>
      <c r="O615" s="10">
        <f>Raw_Data!O615</f>
        <v/>
      </c>
      <c r="P615" s="11">
        <f>Raw_Data!P615</f>
        <v/>
      </c>
      <c r="R615" s="9">
        <f>IFERROR(Cleaned_Data!M615/Cleaned_Data!K615,0)</f>
        <v/>
      </c>
    </row>
    <row r="616">
      <c r="A616" s="7">
        <f>Raw_Data!A616</f>
        <v/>
      </c>
      <c r="B616" s="8">
        <f>Raw_Data!B616</f>
        <v/>
      </c>
      <c r="C616" s="8">
        <f>Raw_Data!C616</f>
        <v/>
      </c>
      <c r="D616" s="7">
        <f>Raw_Data!D616</f>
        <v/>
      </c>
      <c r="E616" s="7">
        <f>Raw_Data!E616</f>
        <v/>
      </c>
      <c r="F616" s="8">
        <f>Raw_Data!F616</f>
        <v/>
      </c>
      <c r="G616" s="8">
        <f>Raw_Data!G616</f>
        <v/>
      </c>
      <c r="H616" s="7">
        <f>Raw_Data!H616</f>
        <v/>
      </c>
      <c r="I616" s="7">
        <f>Raw_Data!I616</f>
        <v/>
      </c>
      <c r="J616" s="8">
        <f>Raw_Data!J616</f>
        <v/>
      </c>
      <c r="K616" s="8">
        <f>Raw_Data!K616</f>
        <v/>
      </c>
      <c r="L616" s="8">
        <f>Raw_Data!L616</f>
        <v/>
      </c>
      <c r="M616" s="7">
        <f>Raw_Data!M616</f>
        <v/>
      </c>
      <c r="N616" s="7">
        <f>Raw_Data!N616</f>
        <v/>
      </c>
      <c r="O616" s="7">
        <f>Raw_Data!O616</f>
        <v/>
      </c>
      <c r="P616" s="8">
        <f>Raw_Data!P616</f>
        <v/>
      </c>
      <c r="R616" s="9">
        <f>IFERROR(Cleaned_Data!M616/Cleaned_Data!K616,0)</f>
        <v/>
      </c>
    </row>
    <row r="617">
      <c r="A617" s="10">
        <f>Raw_Data!A617</f>
        <v/>
      </c>
      <c r="B617" s="11">
        <f>Raw_Data!B617</f>
        <v/>
      </c>
      <c r="C617" s="11">
        <f>Raw_Data!C617</f>
        <v/>
      </c>
      <c r="D617" s="10">
        <f>Raw_Data!D617</f>
        <v/>
      </c>
      <c r="E617" s="10">
        <f>Raw_Data!E617</f>
        <v/>
      </c>
      <c r="F617" s="11">
        <f>Raw_Data!F617</f>
        <v/>
      </c>
      <c r="G617" s="11">
        <f>Raw_Data!G617</f>
        <v/>
      </c>
      <c r="H617" s="10">
        <f>Raw_Data!H617</f>
        <v/>
      </c>
      <c r="I617" s="10">
        <f>Raw_Data!I617</f>
        <v/>
      </c>
      <c r="J617" s="11">
        <f>Raw_Data!J617</f>
        <v/>
      </c>
      <c r="K617" s="11">
        <f>Raw_Data!K617</f>
        <v/>
      </c>
      <c r="L617" s="11">
        <f>Raw_Data!L617</f>
        <v/>
      </c>
      <c r="M617" s="10">
        <f>Raw_Data!M617</f>
        <v/>
      </c>
      <c r="N617" s="10">
        <f>Raw_Data!N617</f>
        <v/>
      </c>
      <c r="O617" s="10">
        <f>Raw_Data!O617</f>
        <v/>
      </c>
      <c r="P617" s="11">
        <f>Raw_Data!P617</f>
        <v/>
      </c>
      <c r="R617" s="9">
        <f>IFERROR(Cleaned_Data!M617/Cleaned_Data!K617,0)</f>
        <v/>
      </c>
    </row>
    <row r="618">
      <c r="A618" s="7">
        <f>Raw_Data!A618</f>
        <v/>
      </c>
      <c r="B618" s="8">
        <f>Raw_Data!B618</f>
        <v/>
      </c>
      <c r="C618" s="8">
        <f>Raw_Data!C618</f>
        <v/>
      </c>
      <c r="D618" s="7">
        <f>Raw_Data!D618</f>
        <v/>
      </c>
      <c r="E618" s="7">
        <f>Raw_Data!E618</f>
        <v/>
      </c>
      <c r="F618" s="8">
        <f>Raw_Data!F618</f>
        <v/>
      </c>
      <c r="G618" s="8">
        <f>Raw_Data!G618</f>
        <v/>
      </c>
      <c r="H618" s="7">
        <f>Raw_Data!H618</f>
        <v/>
      </c>
      <c r="I618" s="7">
        <f>Raw_Data!I618</f>
        <v/>
      </c>
      <c r="J618" s="8">
        <f>Raw_Data!J618</f>
        <v/>
      </c>
      <c r="K618" s="8">
        <f>Raw_Data!K618</f>
        <v/>
      </c>
      <c r="L618" s="8">
        <f>Raw_Data!L618</f>
        <v/>
      </c>
      <c r="M618" s="7">
        <f>Raw_Data!M618</f>
        <v/>
      </c>
      <c r="N618" s="7">
        <f>Raw_Data!N618</f>
        <v/>
      </c>
      <c r="O618" s="7">
        <f>Raw_Data!O618</f>
        <v/>
      </c>
      <c r="P618" s="8">
        <f>Raw_Data!P618</f>
        <v/>
      </c>
      <c r="R618" s="9">
        <f>IFERROR(Cleaned_Data!M618/Cleaned_Data!K618,0)</f>
        <v/>
      </c>
    </row>
    <row r="619">
      <c r="A619" s="10">
        <f>Raw_Data!A619</f>
        <v/>
      </c>
      <c r="B619" s="11">
        <f>Raw_Data!B619</f>
        <v/>
      </c>
      <c r="C619" s="11">
        <f>Raw_Data!C619</f>
        <v/>
      </c>
      <c r="D619" s="10">
        <f>Raw_Data!D619</f>
        <v/>
      </c>
      <c r="E619" s="10">
        <f>Raw_Data!E619</f>
        <v/>
      </c>
      <c r="F619" s="11">
        <f>Raw_Data!F619</f>
        <v/>
      </c>
      <c r="G619" s="11">
        <f>Raw_Data!G619</f>
        <v/>
      </c>
      <c r="H619" s="10">
        <f>Raw_Data!H619</f>
        <v/>
      </c>
      <c r="I619" s="10">
        <f>Raw_Data!I619</f>
        <v/>
      </c>
      <c r="J619" s="11">
        <f>Raw_Data!J619</f>
        <v/>
      </c>
      <c r="K619" s="11">
        <f>Raw_Data!K619</f>
        <v/>
      </c>
      <c r="L619" s="11">
        <f>Raw_Data!L619</f>
        <v/>
      </c>
      <c r="M619" s="10">
        <f>Raw_Data!M619</f>
        <v/>
      </c>
      <c r="N619" s="10">
        <f>Raw_Data!N619</f>
        <v/>
      </c>
      <c r="O619" s="10">
        <f>Raw_Data!O619</f>
        <v/>
      </c>
      <c r="P619" s="11">
        <f>Raw_Data!P619</f>
        <v/>
      </c>
      <c r="R619" s="9">
        <f>IFERROR(Cleaned_Data!M619/Cleaned_Data!K619,0)</f>
        <v/>
      </c>
    </row>
    <row r="620">
      <c r="A620" s="7">
        <f>Raw_Data!A620</f>
        <v/>
      </c>
      <c r="B620" s="8">
        <f>Raw_Data!B620</f>
        <v/>
      </c>
      <c r="C620" s="8">
        <f>Raw_Data!C620</f>
        <v/>
      </c>
      <c r="D620" s="7">
        <f>Raw_Data!D620</f>
        <v/>
      </c>
      <c r="E620" s="7">
        <f>Raw_Data!E620</f>
        <v/>
      </c>
      <c r="F620" s="8">
        <f>Raw_Data!F620</f>
        <v/>
      </c>
      <c r="G620" s="8">
        <f>Raw_Data!G620</f>
        <v/>
      </c>
      <c r="H620" s="7">
        <f>Raw_Data!H620</f>
        <v/>
      </c>
      <c r="I620" s="7">
        <f>Raw_Data!I620</f>
        <v/>
      </c>
      <c r="J620" s="8">
        <f>Raw_Data!J620</f>
        <v/>
      </c>
      <c r="K620" s="8">
        <f>Raw_Data!K620</f>
        <v/>
      </c>
      <c r="L620" s="8">
        <f>Raw_Data!L620</f>
        <v/>
      </c>
      <c r="M620" s="7">
        <f>Raw_Data!M620</f>
        <v/>
      </c>
      <c r="N620" s="7">
        <f>Raw_Data!N620</f>
        <v/>
      </c>
      <c r="O620" s="7">
        <f>Raw_Data!O620</f>
        <v/>
      </c>
      <c r="P620" s="8">
        <f>Raw_Data!P620</f>
        <v/>
      </c>
      <c r="R620" s="9">
        <f>IFERROR(Cleaned_Data!M620/Cleaned_Data!K620,0)</f>
        <v/>
      </c>
    </row>
    <row r="621">
      <c r="A621" s="10">
        <f>Raw_Data!A621</f>
        <v/>
      </c>
      <c r="B621" s="11">
        <f>Raw_Data!B621</f>
        <v/>
      </c>
      <c r="C621" s="11">
        <f>Raw_Data!C621</f>
        <v/>
      </c>
      <c r="D621" s="10">
        <f>Raw_Data!D621</f>
        <v/>
      </c>
      <c r="E621" s="10">
        <f>Raw_Data!E621</f>
        <v/>
      </c>
      <c r="F621" s="11">
        <f>Raw_Data!F621</f>
        <v/>
      </c>
      <c r="G621" s="11">
        <f>Raw_Data!G621</f>
        <v/>
      </c>
      <c r="H621" s="10">
        <f>Raw_Data!H621</f>
        <v/>
      </c>
      <c r="I621" s="10">
        <f>Raw_Data!I621</f>
        <v/>
      </c>
      <c r="J621" s="11">
        <f>Raw_Data!J621</f>
        <v/>
      </c>
      <c r="K621" s="11">
        <f>Raw_Data!K621</f>
        <v/>
      </c>
      <c r="L621" s="11">
        <f>Raw_Data!L621</f>
        <v/>
      </c>
      <c r="M621" s="10">
        <f>Raw_Data!M621</f>
        <v/>
      </c>
      <c r="N621" s="10">
        <f>Raw_Data!N621</f>
        <v/>
      </c>
      <c r="O621" s="10">
        <f>Raw_Data!O621</f>
        <v/>
      </c>
      <c r="P621" s="11">
        <f>Raw_Data!P621</f>
        <v/>
      </c>
      <c r="R621" s="9">
        <f>IFERROR(Cleaned_Data!M621/Cleaned_Data!K621,0)</f>
        <v/>
      </c>
    </row>
    <row r="622">
      <c r="A622" s="7">
        <f>Raw_Data!A622</f>
        <v/>
      </c>
      <c r="B622" s="8">
        <f>Raw_Data!B622</f>
        <v/>
      </c>
      <c r="C622" s="8">
        <f>Raw_Data!C622</f>
        <v/>
      </c>
      <c r="D622" s="7">
        <f>Raw_Data!D622</f>
        <v/>
      </c>
      <c r="E622" s="7">
        <f>Raw_Data!E622</f>
        <v/>
      </c>
      <c r="F622" s="8">
        <f>Raw_Data!F622</f>
        <v/>
      </c>
      <c r="G622" s="8">
        <f>Raw_Data!G622</f>
        <v/>
      </c>
      <c r="H622" s="7">
        <f>Raw_Data!H622</f>
        <v/>
      </c>
      <c r="I622" s="7">
        <f>Raw_Data!I622</f>
        <v/>
      </c>
      <c r="J622" s="8">
        <f>Raw_Data!J622</f>
        <v/>
      </c>
      <c r="K622" s="8">
        <f>Raw_Data!K622</f>
        <v/>
      </c>
      <c r="L622" s="8">
        <f>Raw_Data!L622</f>
        <v/>
      </c>
      <c r="M622" s="7">
        <f>Raw_Data!M622</f>
        <v/>
      </c>
      <c r="N622" s="7">
        <f>Raw_Data!N622</f>
        <v/>
      </c>
      <c r="O622" s="7">
        <f>Raw_Data!O622</f>
        <v/>
      </c>
      <c r="P622" s="8">
        <f>Raw_Data!P622</f>
        <v/>
      </c>
      <c r="R622" s="9">
        <f>IFERROR(Cleaned_Data!M622/Cleaned_Data!K622,0)</f>
        <v/>
      </c>
    </row>
    <row r="623">
      <c r="A623" s="10">
        <f>Raw_Data!A623</f>
        <v/>
      </c>
      <c r="B623" s="11">
        <f>Raw_Data!B623</f>
        <v/>
      </c>
      <c r="C623" s="11">
        <f>Raw_Data!C623</f>
        <v/>
      </c>
      <c r="D623" s="10">
        <f>Raw_Data!D623</f>
        <v/>
      </c>
      <c r="E623" s="10">
        <f>Raw_Data!E623</f>
        <v/>
      </c>
      <c r="F623" s="11">
        <f>Raw_Data!F623</f>
        <v/>
      </c>
      <c r="G623" s="11">
        <f>Raw_Data!G623</f>
        <v/>
      </c>
      <c r="H623" s="10">
        <f>Raw_Data!H623</f>
        <v/>
      </c>
      <c r="I623" s="10">
        <f>Raw_Data!I623</f>
        <v/>
      </c>
      <c r="J623" s="11">
        <f>Raw_Data!J623</f>
        <v/>
      </c>
      <c r="K623" s="11">
        <f>Raw_Data!K623</f>
        <v/>
      </c>
      <c r="L623" s="11">
        <f>Raw_Data!L623</f>
        <v/>
      </c>
      <c r="M623" s="10">
        <f>Raw_Data!M623</f>
        <v/>
      </c>
      <c r="N623" s="10">
        <f>Raw_Data!N623</f>
        <v/>
      </c>
      <c r="O623" s="10">
        <f>Raw_Data!O623</f>
        <v/>
      </c>
      <c r="P623" s="11">
        <f>Raw_Data!P623</f>
        <v/>
      </c>
      <c r="R623" s="9">
        <f>IFERROR(Cleaned_Data!M623/Cleaned_Data!K623,0)</f>
        <v/>
      </c>
    </row>
    <row r="624">
      <c r="A624" s="7">
        <f>Raw_Data!A624</f>
        <v/>
      </c>
      <c r="B624" s="8">
        <f>Raw_Data!B624</f>
        <v/>
      </c>
      <c r="C624" s="8">
        <f>Raw_Data!C624</f>
        <v/>
      </c>
      <c r="D624" s="7">
        <f>Raw_Data!D624</f>
        <v/>
      </c>
      <c r="E624" s="7">
        <f>Raw_Data!E624</f>
        <v/>
      </c>
      <c r="F624" s="8">
        <f>Raw_Data!F624</f>
        <v/>
      </c>
      <c r="G624" s="8">
        <f>Raw_Data!G624</f>
        <v/>
      </c>
      <c r="H624" s="7">
        <f>Raw_Data!H624</f>
        <v/>
      </c>
      <c r="I624" s="7">
        <f>Raw_Data!I624</f>
        <v/>
      </c>
      <c r="J624" s="8">
        <f>Raw_Data!J624</f>
        <v/>
      </c>
      <c r="K624" s="8">
        <f>Raw_Data!K624</f>
        <v/>
      </c>
      <c r="L624" s="8">
        <f>Raw_Data!L624</f>
        <v/>
      </c>
      <c r="M624" s="7">
        <f>Raw_Data!M624</f>
        <v/>
      </c>
      <c r="N624" s="7">
        <f>Raw_Data!N624</f>
        <v/>
      </c>
      <c r="O624" s="7">
        <f>Raw_Data!O624</f>
        <v/>
      </c>
      <c r="P624" s="8">
        <f>Raw_Data!P624</f>
        <v/>
      </c>
      <c r="R624" s="9">
        <f>IFERROR(Cleaned_Data!M624/Cleaned_Data!K624,0)</f>
        <v/>
      </c>
    </row>
    <row r="625">
      <c r="A625" s="10">
        <f>Raw_Data!A625</f>
        <v/>
      </c>
      <c r="B625" s="11">
        <f>Raw_Data!B625</f>
        <v/>
      </c>
      <c r="C625" s="11">
        <f>Raw_Data!C625</f>
        <v/>
      </c>
      <c r="D625" s="10">
        <f>Raw_Data!D625</f>
        <v/>
      </c>
      <c r="E625" s="10">
        <f>Raw_Data!E625</f>
        <v/>
      </c>
      <c r="F625" s="11">
        <f>Raw_Data!F625</f>
        <v/>
      </c>
      <c r="G625" s="11">
        <f>Raw_Data!G625</f>
        <v/>
      </c>
      <c r="H625" s="10">
        <f>Raw_Data!H625</f>
        <v/>
      </c>
      <c r="I625" s="10">
        <f>Raw_Data!I625</f>
        <v/>
      </c>
      <c r="J625" s="11">
        <f>Raw_Data!J625</f>
        <v/>
      </c>
      <c r="K625" s="11">
        <f>Raw_Data!K625</f>
        <v/>
      </c>
      <c r="L625" s="11">
        <f>Raw_Data!L625</f>
        <v/>
      </c>
      <c r="M625" s="10">
        <f>Raw_Data!M625</f>
        <v/>
      </c>
      <c r="N625" s="10">
        <f>Raw_Data!N625</f>
        <v/>
      </c>
      <c r="O625" s="10">
        <f>Raw_Data!O625</f>
        <v/>
      </c>
      <c r="P625" s="11">
        <f>Raw_Data!P625</f>
        <v/>
      </c>
      <c r="R625" s="9">
        <f>IFERROR(Cleaned_Data!M625/Cleaned_Data!K625,0)</f>
        <v/>
      </c>
    </row>
    <row r="626">
      <c r="A626" s="7">
        <f>Raw_Data!A626</f>
        <v/>
      </c>
      <c r="B626" s="8">
        <f>Raw_Data!B626</f>
        <v/>
      </c>
      <c r="C626" s="8">
        <f>Raw_Data!C626</f>
        <v/>
      </c>
      <c r="D626" s="7">
        <f>Raw_Data!D626</f>
        <v/>
      </c>
      <c r="E626" s="7">
        <f>Raw_Data!E626</f>
        <v/>
      </c>
      <c r="F626" s="8">
        <f>Raw_Data!F626</f>
        <v/>
      </c>
      <c r="G626" s="8">
        <f>Raw_Data!G626</f>
        <v/>
      </c>
      <c r="H626" s="7">
        <f>Raw_Data!H626</f>
        <v/>
      </c>
      <c r="I626" s="7">
        <f>Raw_Data!I626</f>
        <v/>
      </c>
      <c r="J626" s="8">
        <f>Raw_Data!J626</f>
        <v/>
      </c>
      <c r="K626" s="8">
        <f>Raw_Data!K626</f>
        <v/>
      </c>
      <c r="L626" s="8">
        <f>Raw_Data!L626</f>
        <v/>
      </c>
      <c r="M626" s="7">
        <f>Raw_Data!M626</f>
        <v/>
      </c>
      <c r="N626" s="7">
        <f>Raw_Data!N626</f>
        <v/>
      </c>
      <c r="O626" s="7">
        <f>Raw_Data!O626</f>
        <v/>
      </c>
      <c r="P626" s="8">
        <f>Raw_Data!P626</f>
        <v/>
      </c>
      <c r="R626" s="9">
        <f>IFERROR(Cleaned_Data!M626/Cleaned_Data!K626,0)</f>
        <v/>
      </c>
    </row>
    <row r="627">
      <c r="A627" s="10">
        <f>Raw_Data!A627</f>
        <v/>
      </c>
      <c r="B627" s="11">
        <f>Raw_Data!B627</f>
        <v/>
      </c>
      <c r="C627" s="11">
        <f>Raw_Data!C627</f>
        <v/>
      </c>
      <c r="D627" s="10">
        <f>Raw_Data!D627</f>
        <v/>
      </c>
      <c r="E627" s="10">
        <f>Raw_Data!E627</f>
        <v/>
      </c>
      <c r="F627" s="11">
        <f>Raw_Data!F627</f>
        <v/>
      </c>
      <c r="G627" s="11">
        <f>Raw_Data!G627</f>
        <v/>
      </c>
      <c r="H627" s="10">
        <f>Raw_Data!H627</f>
        <v/>
      </c>
      <c r="I627" s="10">
        <f>Raw_Data!I627</f>
        <v/>
      </c>
      <c r="J627" s="11">
        <f>Raw_Data!J627</f>
        <v/>
      </c>
      <c r="K627" s="11">
        <f>Raw_Data!K627</f>
        <v/>
      </c>
      <c r="L627" s="11">
        <f>Raw_Data!L627</f>
        <v/>
      </c>
      <c r="M627" s="10">
        <f>Raw_Data!M627</f>
        <v/>
      </c>
      <c r="N627" s="10">
        <f>Raw_Data!N627</f>
        <v/>
      </c>
      <c r="O627" s="10">
        <f>Raw_Data!O627</f>
        <v/>
      </c>
      <c r="P627" s="11">
        <f>Raw_Data!P627</f>
        <v/>
      </c>
      <c r="R627" s="9">
        <f>IFERROR(Cleaned_Data!M627/Cleaned_Data!K627,0)</f>
        <v/>
      </c>
    </row>
    <row r="628">
      <c r="A628" s="7">
        <f>Raw_Data!A628</f>
        <v/>
      </c>
      <c r="B628" s="8">
        <f>Raw_Data!B628</f>
        <v/>
      </c>
      <c r="C628" s="8">
        <f>Raw_Data!C628</f>
        <v/>
      </c>
      <c r="D628" s="7">
        <f>Raw_Data!D628</f>
        <v/>
      </c>
      <c r="E628" s="7">
        <f>Raw_Data!E628</f>
        <v/>
      </c>
      <c r="F628" s="8">
        <f>Raw_Data!F628</f>
        <v/>
      </c>
      <c r="G628" s="8">
        <f>Raw_Data!G628</f>
        <v/>
      </c>
      <c r="H628" s="7">
        <f>Raw_Data!H628</f>
        <v/>
      </c>
      <c r="I628" s="7">
        <f>Raw_Data!I628</f>
        <v/>
      </c>
      <c r="J628" s="8">
        <f>Raw_Data!J628</f>
        <v/>
      </c>
      <c r="K628" s="8">
        <f>Raw_Data!K628</f>
        <v/>
      </c>
      <c r="L628" s="8">
        <f>Raw_Data!L628</f>
        <v/>
      </c>
      <c r="M628" s="7">
        <f>Raw_Data!M628</f>
        <v/>
      </c>
      <c r="N628" s="7">
        <f>Raw_Data!N628</f>
        <v/>
      </c>
      <c r="O628" s="7">
        <f>Raw_Data!O628</f>
        <v/>
      </c>
      <c r="P628" s="8">
        <f>Raw_Data!P628</f>
        <v/>
      </c>
      <c r="R628" s="9">
        <f>IFERROR(Cleaned_Data!M628/Cleaned_Data!K628,0)</f>
        <v/>
      </c>
    </row>
    <row r="629">
      <c r="A629" s="10">
        <f>Raw_Data!A629</f>
        <v/>
      </c>
      <c r="B629" s="11">
        <f>Raw_Data!B629</f>
        <v/>
      </c>
      <c r="C629" s="11">
        <f>Raw_Data!C629</f>
        <v/>
      </c>
      <c r="D629" s="10">
        <f>Raw_Data!D629</f>
        <v/>
      </c>
      <c r="E629" s="10">
        <f>Raw_Data!E629</f>
        <v/>
      </c>
      <c r="F629" s="11">
        <f>Raw_Data!F629</f>
        <v/>
      </c>
      <c r="G629" s="11">
        <f>Raw_Data!G629</f>
        <v/>
      </c>
      <c r="H629" s="10">
        <f>Raw_Data!H629</f>
        <v/>
      </c>
      <c r="I629" s="10">
        <f>Raw_Data!I629</f>
        <v/>
      </c>
      <c r="J629" s="11">
        <f>Raw_Data!J629</f>
        <v/>
      </c>
      <c r="K629" s="11">
        <f>Raw_Data!K629</f>
        <v/>
      </c>
      <c r="L629" s="11">
        <f>Raw_Data!L629</f>
        <v/>
      </c>
      <c r="M629" s="10">
        <f>Raw_Data!M629</f>
        <v/>
      </c>
      <c r="N629" s="10">
        <f>Raw_Data!N629</f>
        <v/>
      </c>
      <c r="O629" s="10">
        <f>Raw_Data!O629</f>
        <v/>
      </c>
      <c r="P629" s="11">
        <f>Raw_Data!P629</f>
        <v/>
      </c>
      <c r="R629" s="9">
        <f>IFERROR(Cleaned_Data!M629/Cleaned_Data!K629,0)</f>
        <v/>
      </c>
    </row>
    <row r="630">
      <c r="A630" s="7">
        <f>Raw_Data!A630</f>
        <v/>
      </c>
      <c r="B630" s="8">
        <f>Raw_Data!B630</f>
        <v/>
      </c>
      <c r="C630" s="8">
        <f>Raw_Data!C630</f>
        <v/>
      </c>
      <c r="D630" s="7">
        <f>Raw_Data!D630</f>
        <v/>
      </c>
      <c r="E630" s="7">
        <f>Raw_Data!E630</f>
        <v/>
      </c>
      <c r="F630" s="8">
        <f>Raw_Data!F630</f>
        <v/>
      </c>
      <c r="G630" s="8">
        <f>Raw_Data!G630</f>
        <v/>
      </c>
      <c r="H630" s="7">
        <f>Raw_Data!H630</f>
        <v/>
      </c>
      <c r="I630" s="7">
        <f>Raw_Data!I630</f>
        <v/>
      </c>
      <c r="J630" s="8">
        <f>Raw_Data!J630</f>
        <v/>
      </c>
      <c r="K630" s="8">
        <f>Raw_Data!K630</f>
        <v/>
      </c>
      <c r="L630" s="8">
        <f>Raw_Data!L630</f>
        <v/>
      </c>
      <c r="M630" s="7">
        <f>Raw_Data!M630</f>
        <v/>
      </c>
      <c r="N630" s="7">
        <f>Raw_Data!N630</f>
        <v/>
      </c>
      <c r="O630" s="7">
        <f>Raw_Data!O630</f>
        <v/>
      </c>
      <c r="P630" s="8">
        <f>Raw_Data!P630</f>
        <v/>
      </c>
      <c r="R630" s="9">
        <f>IFERROR(Cleaned_Data!M630/Cleaned_Data!K630,0)</f>
        <v/>
      </c>
    </row>
    <row r="631">
      <c r="A631" s="10">
        <f>Raw_Data!A631</f>
        <v/>
      </c>
      <c r="B631" s="11">
        <f>Raw_Data!B631</f>
        <v/>
      </c>
      <c r="C631" s="11">
        <f>Raw_Data!C631</f>
        <v/>
      </c>
      <c r="D631" s="10">
        <f>Raw_Data!D631</f>
        <v/>
      </c>
      <c r="E631" s="10">
        <f>Raw_Data!E631</f>
        <v/>
      </c>
      <c r="F631" s="11">
        <f>Raw_Data!F631</f>
        <v/>
      </c>
      <c r="G631" s="11">
        <f>Raw_Data!G631</f>
        <v/>
      </c>
      <c r="H631" s="10">
        <f>Raw_Data!H631</f>
        <v/>
      </c>
      <c r="I631" s="10">
        <f>Raw_Data!I631</f>
        <v/>
      </c>
      <c r="J631" s="11">
        <f>Raw_Data!J631</f>
        <v/>
      </c>
      <c r="K631" s="11">
        <f>Raw_Data!K631</f>
        <v/>
      </c>
      <c r="L631" s="11">
        <f>Raw_Data!L631</f>
        <v/>
      </c>
      <c r="M631" s="10">
        <f>Raw_Data!M631</f>
        <v/>
      </c>
      <c r="N631" s="10">
        <f>Raw_Data!N631</f>
        <v/>
      </c>
      <c r="O631" s="10">
        <f>Raw_Data!O631</f>
        <v/>
      </c>
      <c r="P631" s="11">
        <f>Raw_Data!P631</f>
        <v/>
      </c>
      <c r="R631" s="9">
        <f>IFERROR(Cleaned_Data!M631/Cleaned_Data!K631,0)</f>
        <v/>
      </c>
    </row>
    <row r="632">
      <c r="A632" s="7">
        <f>Raw_Data!A632</f>
        <v/>
      </c>
      <c r="B632" s="8">
        <f>Raw_Data!B632</f>
        <v/>
      </c>
      <c r="C632" s="8">
        <f>Raw_Data!C632</f>
        <v/>
      </c>
      <c r="D632" s="7">
        <f>Raw_Data!D632</f>
        <v/>
      </c>
      <c r="E632" s="7">
        <f>Raw_Data!E632</f>
        <v/>
      </c>
      <c r="F632" s="8">
        <f>Raw_Data!F632</f>
        <v/>
      </c>
      <c r="G632" s="8">
        <f>Raw_Data!G632</f>
        <v/>
      </c>
      <c r="H632" s="7">
        <f>Raw_Data!H632</f>
        <v/>
      </c>
      <c r="I632" s="7">
        <f>Raw_Data!I632</f>
        <v/>
      </c>
      <c r="J632" s="8">
        <f>Raw_Data!J632</f>
        <v/>
      </c>
      <c r="K632" s="8">
        <f>Raw_Data!K632</f>
        <v/>
      </c>
      <c r="L632" s="8">
        <f>Raw_Data!L632</f>
        <v/>
      </c>
      <c r="M632" s="7">
        <f>Raw_Data!M632</f>
        <v/>
      </c>
      <c r="N632" s="7">
        <f>Raw_Data!N632</f>
        <v/>
      </c>
      <c r="O632" s="7">
        <f>Raw_Data!O632</f>
        <v/>
      </c>
      <c r="P632" s="8">
        <f>Raw_Data!P632</f>
        <v/>
      </c>
      <c r="R632" s="9">
        <f>IFERROR(Cleaned_Data!M632/Cleaned_Data!K632,0)</f>
        <v/>
      </c>
    </row>
    <row r="633">
      <c r="A633" s="10">
        <f>Raw_Data!A633</f>
        <v/>
      </c>
      <c r="B633" s="11">
        <f>Raw_Data!B633</f>
        <v/>
      </c>
      <c r="C633" s="11">
        <f>Raw_Data!C633</f>
        <v/>
      </c>
      <c r="D633" s="10">
        <f>Raw_Data!D633</f>
        <v/>
      </c>
      <c r="E633" s="10">
        <f>Raw_Data!E633</f>
        <v/>
      </c>
      <c r="F633" s="11">
        <f>Raw_Data!F633</f>
        <v/>
      </c>
      <c r="G633" s="11">
        <f>Raw_Data!G633</f>
        <v/>
      </c>
      <c r="H633" s="10">
        <f>Raw_Data!H633</f>
        <v/>
      </c>
      <c r="I633" s="10">
        <f>Raw_Data!I633</f>
        <v/>
      </c>
      <c r="J633" s="11">
        <f>Raw_Data!J633</f>
        <v/>
      </c>
      <c r="K633" s="11">
        <f>Raw_Data!K633</f>
        <v/>
      </c>
      <c r="L633" s="11">
        <f>Raw_Data!L633</f>
        <v/>
      </c>
      <c r="M633" s="10">
        <f>Raw_Data!M633</f>
        <v/>
      </c>
      <c r="N633" s="10">
        <f>Raw_Data!N633</f>
        <v/>
      </c>
      <c r="O633" s="10">
        <f>Raw_Data!O633</f>
        <v/>
      </c>
      <c r="P633" s="11">
        <f>Raw_Data!P633</f>
        <v/>
      </c>
      <c r="R633" s="9">
        <f>IFERROR(Cleaned_Data!M633/Cleaned_Data!K633,0)</f>
        <v/>
      </c>
    </row>
    <row r="634">
      <c r="A634" s="7">
        <f>Raw_Data!A634</f>
        <v/>
      </c>
      <c r="B634" s="8">
        <f>Raw_Data!B634</f>
        <v/>
      </c>
      <c r="C634" s="8">
        <f>Raw_Data!C634</f>
        <v/>
      </c>
      <c r="D634" s="7">
        <f>Raw_Data!D634</f>
        <v/>
      </c>
      <c r="E634" s="7">
        <f>Raw_Data!E634</f>
        <v/>
      </c>
      <c r="F634" s="8">
        <f>Raw_Data!F634</f>
        <v/>
      </c>
      <c r="G634" s="8">
        <f>Raw_Data!G634</f>
        <v/>
      </c>
      <c r="H634" s="7">
        <f>Raw_Data!H634</f>
        <v/>
      </c>
      <c r="I634" s="7">
        <f>Raw_Data!I634</f>
        <v/>
      </c>
      <c r="J634" s="8">
        <f>Raw_Data!J634</f>
        <v/>
      </c>
      <c r="K634" s="8">
        <f>Raw_Data!K634</f>
        <v/>
      </c>
      <c r="L634" s="8">
        <f>Raw_Data!L634</f>
        <v/>
      </c>
      <c r="M634" s="7">
        <f>Raw_Data!M634</f>
        <v/>
      </c>
      <c r="N634" s="7">
        <f>Raw_Data!N634</f>
        <v/>
      </c>
      <c r="O634" s="7">
        <f>Raw_Data!O634</f>
        <v/>
      </c>
      <c r="P634" s="8">
        <f>Raw_Data!P634</f>
        <v/>
      </c>
      <c r="R634" s="9">
        <f>IFERROR(Cleaned_Data!M634/Cleaned_Data!K634,0)</f>
        <v/>
      </c>
    </row>
    <row r="635">
      <c r="A635" s="10">
        <f>Raw_Data!A635</f>
        <v/>
      </c>
      <c r="B635" s="11">
        <f>Raw_Data!B635</f>
        <v/>
      </c>
      <c r="C635" s="11">
        <f>Raw_Data!C635</f>
        <v/>
      </c>
      <c r="D635" s="10">
        <f>Raw_Data!D635</f>
        <v/>
      </c>
      <c r="E635" s="10">
        <f>Raw_Data!E635</f>
        <v/>
      </c>
      <c r="F635" s="11">
        <f>Raw_Data!F635</f>
        <v/>
      </c>
      <c r="G635" s="11">
        <f>Raw_Data!G635</f>
        <v/>
      </c>
      <c r="H635" s="10">
        <f>Raw_Data!H635</f>
        <v/>
      </c>
      <c r="I635" s="10">
        <f>Raw_Data!I635</f>
        <v/>
      </c>
      <c r="J635" s="11">
        <f>Raw_Data!J635</f>
        <v/>
      </c>
      <c r="K635" s="11">
        <f>Raw_Data!K635</f>
        <v/>
      </c>
      <c r="L635" s="11">
        <f>Raw_Data!L635</f>
        <v/>
      </c>
      <c r="M635" s="10">
        <f>Raw_Data!M635</f>
        <v/>
      </c>
      <c r="N635" s="10">
        <f>Raw_Data!N635</f>
        <v/>
      </c>
      <c r="O635" s="10">
        <f>Raw_Data!O635</f>
        <v/>
      </c>
      <c r="P635" s="11">
        <f>Raw_Data!P635</f>
        <v/>
      </c>
      <c r="R635" s="9">
        <f>IFERROR(Cleaned_Data!M635/Cleaned_Data!K635,0)</f>
        <v/>
      </c>
    </row>
    <row r="636">
      <c r="A636" s="7">
        <f>Raw_Data!A636</f>
        <v/>
      </c>
      <c r="B636" s="8">
        <f>Raw_Data!B636</f>
        <v/>
      </c>
      <c r="C636" s="8">
        <f>Raw_Data!C636</f>
        <v/>
      </c>
      <c r="D636" s="7">
        <f>Raw_Data!D636</f>
        <v/>
      </c>
      <c r="E636" s="7">
        <f>Raw_Data!E636</f>
        <v/>
      </c>
      <c r="F636" s="8">
        <f>Raw_Data!F636</f>
        <v/>
      </c>
      <c r="G636" s="8">
        <f>Raw_Data!G636</f>
        <v/>
      </c>
      <c r="H636" s="7">
        <f>Raw_Data!H636</f>
        <v/>
      </c>
      <c r="I636" s="7">
        <f>Raw_Data!I636</f>
        <v/>
      </c>
      <c r="J636" s="8">
        <f>Raw_Data!J636</f>
        <v/>
      </c>
      <c r="K636" s="8">
        <f>Raw_Data!K636</f>
        <v/>
      </c>
      <c r="L636" s="8">
        <f>Raw_Data!L636</f>
        <v/>
      </c>
      <c r="M636" s="7">
        <f>Raw_Data!M636</f>
        <v/>
      </c>
      <c r="N636" s="7">
        <f>Raw_Data!N636</f>
        <v/>
      </c>
      <c r="O636" s="7">
        <f>Raw_Data!O636</f>
        <v/>
      </c>
      <c r="P636" s="8">
        <f>Raw_Data!P636</f>
        <v/>
      </c>
      <c r="R636" s="9">
        <f>IFERROR(Cleaned_Data!M636/Cleaned_Data!K636,0)</f>
        <v/>
      </c>
    </row>
    <row r="637">
      <c r="A637" s="10">
        <f>Raw_Data!A637</f>
        <v/>
      </c>
      <c r="B637" s="11">
        <f>Raw_Data!B637</f>
        <v/>
      </c>
      <c r="C637" s="11">
        <f>Raw_Data!C637</f>
        <v/>
      </c>
      <c r="D637" s="10">
        <f>Raw_Data!D637</f>
        <v/>
      </c>
      <c r="E637" s="10">
        <f>Raw_Data!E637</f>
        <v/>
      </c>
      <c r="F637" s="11">
        <f>Raw_Data!F637</f>
        <v/>
      </c>
      <c r="G637" s="11">
        <f>Raw_Data!G637</f>
        <v/>
      </c>
      <c r="H637" s="10">
        <f>Raw_Data!H637</f>
        <v/>
      </c>
      <c r="I637" s="10">
        <f>Raw_Data!I637</f>
        <v/>
      </c>
      <c r="J637" s="11">
        <f>Raw_Data!J637</f>
        <v/>
      </c>
      <c r="K637" s="11">
        <f>Raw_Data!K637</f>
        <v/>
      </c>
      <c r="L637" s="11">
        <f>Raw_Data!L637</f>
        <v/>
      </c>
      <c r="M637" s="10">
        <f>Raw_Data!M637</f>
        <v/>
      </c>
      <c r="N637" s="10">
        <f>Raw_Data!N637</f>
        <v/>
      </c>
      <c r="O637" s="10">
        <f>Raw_Data!O637</f>
        <v/>
      </c>
      <c r="P637" s="11">
        <f>Raw_Data!P637</f>
        <v/>
      </c>
      <c r="R637" s="9">
        <f>IFERROR(Cleaned_Data!M637/Cleaned_Data!K637,0)</f>
        <v/>
      </c>
    </row>
    <row r="638">
      <c r="A638" s="7">
        <f>Raw_Data!A638</f>
        <v/>
      </c>
      <c r="B638" s="8">
        <f>Raw_Data!B638</f>
        <v/>
      </c>
      <c r="C638" s="8">
        <f>Raw_Data!C638</f>
        <v/>
      </c>
      <c r="D638" s="7">
        <f>Raw_Data!D638</f>
        <v/>
      </c>
      <c r="E638" s="7">
        <f>Raw_Data!E638</f>
        <v/>
      </c>
      <c r="F638" s="8">
        <f>Raw_Data!F638</f>
        <v/>
      </c>
      <c r="G638" s="8">
        <f>Raw_Data!G638</f>
        <v/>
      </c>
      <c r="H638" s="7">
        <f>Raw_Data!H638</f>
        <v/>
      </c>
      <c r="I638" s="7">
        <f>Raw_Data!I638</f>
        <v/>
      </c>
      <c r="J638" s="8">
        <f>Raw_Data!J638</f>
        <v/>
      </c>
      <c r="K638" s="8">
        <f>Raw_Data!K638</f>
        <v/>
      </c>
      <c r="L638" s="8">
        <f>Raw_Data!L638</f>
        <v/>
      </c>
      <c r="M638" s="7">
        <f>Raw_Data!M638</f>
        <v/>
      </c>
      <c r="N638" s="7">
        <f>Raw_Data!N638</f>
        <v/>
      </c>
      <c r="O638" s="7">
        <f>Raw_Data!O638</f>
        <v/>
      </c>
      <c r="P638" s="8">
        <f>Raw_Data!P638</f>
        <v/>
      </c>
      <c r="R638" s="9">
        <f>IFERROR(Cleaned_Data!M638/Cleaned_Data!K638,0)</f>
        <v/>
      </c>
    </row>
    <row r="639">
      <c r="A639" s="10">
        <f>Raw_Data!A639</f>
        <v/>
      </c>
      <c r="B639" s="11">
        <f>Raw_Data!B639</f>
        <v/>
      </c>
      <c r="C639" s="11">
        <f>Raw_Data!C639</f>
        <v/>
      </c>
      <c r="D639" s="10">
        <f>Raw_Data!D639</f>
        <v/>
      </c>
      <c r="E639" s="10">
        <f>Raw_Data!E639</f>
        <v/>
      </c>
      <c r="F639" s="11">
        <f>Raw_Data!F639</f>
        <v/>
      </c>
      <c r="G639" s="11">
        <f>Raw_Data!G639</f>
        <v/>
      </c>
      <c r="H639" s="10">
        <f>Raw_Data!H639</f>
        <v/>
      </c>
      <c r="I639" s="10">
        <f>Raw_Data!I639</f>
        <v/>
      </c>
      <c r="J639" s="11">
        <f>Raw_Data!J639</f>
        <v/>
      </c>
      <c r="K639" s="11">
        <f>Raw_Data!K639</f>
        <v/>
      </c>
      <c r="L639" s="11">
        <f>Raw_Data!L639</f>
        <v/>
      </c>
      <c r="M639" s="10">
        <f>Raw_Data!M639</f>
        <v/>
      </c>
      <c r="N639" s="10">
        <f>Raw_Data!N639</f>
        <v/>
      </c>
      <c r="O639" s="10">
        <f>Raw_Data!O639</f>
        <v/>
      </c>
      <c r="P639" s="11">
        <f>Raw_Data!P639</f>
        <v/>
      </c>
      <c r="R639" s="9">
        <f>IFERROR(Cleaned_Data!M639/Cleaned_Data!K639,0)</f>
        <v/>
      </c>
    </row>
    <row r="640">
      <c r="A640" s="7">
        <f>Raw_Data!A640</f>
        <v/>
      </c>
      <c r="B640" s="8">
        <f>Raw_Data!B640</f>
        <v/>
      </c>
      <c r="C640" s="8">
        <f>Raw_Data!C640</f>
        <v/>
      </c>
      <c r="D640" s="7">
        <f>Raw_Data!D640</f>
        <v/>
      </c>
      <c r="E640" s="7">
        <f>Raw_Data!E640</f>
        <v/>
      </c>
      <c r="F640" s="8">
        <f>Raw_Data!F640</f>
        <v/>
      </c>
      <c r="G640" s="8">
        <f>Raw_Data!G640</f>
        <v/>
      </c>
      <c r="H640" s="7">
        <f>Raw_Data!H640</f>
        <v/>
      </c>
      <c r="I640" s="7">
        <f>Raw_Data!I640</f>
        <v/>
      </c>
      <c r="J640" s="8">
        <f>Raw_Data!J640</f>
        <v/>
      </c>
      <c r="K640" s="8">
        <f>Raw_Data!K640</f>
        <v/>
      </c>
      <c r="L640" s="8">
        <f>Raw_Data!L640</f>
        <v/>
      </c>
      <c r="M640" s="7">
        <f>Raw_Data!M640</f>
        <v/>
      </c>
      <c r="N640" s="7">
        <f>Raw_Data!N640</f>
        <v/>
      </c>
      <c r="O640" s="7">
        <f>Raw_Data!O640</f>
        <v/>
      </c>
      <c r="P640" s="8">
        <f>Raw_Data!P640</f>
        <v/>
      </c>
      <c r="R640" s="9">
        <f>IFERROR(Cleaned_Data!M640/Cleaned_Data!K640,0)</f>
        <v/>
      </c>
    </row>
    <row r="641">
      <c r="A641" s="10">
        <f>Raw_Data!A641</f>
        <v/>
      </c>
      <c r="B641" s="11">
        <f>Raw_Data!B641</f>
        <v/>
      </c>
      <c r="C641" s="11">
        <f>Raw_Data!C641</f>
        <v/>
      </c>
      <c r="D641" s="10">
        <f>Raw_Data!D641</f>
        <v/>
      </c>
      <c r="E641" s="10">
        <f>Raw_Data!E641</f>
        <v/>
      </c>
      <c r="F641" s="11">
        <f>Raw_Data!F641</f>
        <v/>
      </c>
      <c r="G641" s="11">
        <f>Raw_Data!G641</f>
        <v/>
      </c>
      <c r="H641" s="10">
        <f>Raw_Data!H641</f>
        <v/>
      </c>
      <c r="I641" s="10">
        <f>Raw_Data!I641</f>
        <v/>
      </c>
      <c r="J641" s="11">
        <f>Raw_Data!J641</f>
        <v/>
      </c>
      <c r="K641" s="11">
        <f>Raw_Data!K641</f>
        <v/>
      </c>
      <c r="L641" s="11">
        <f>Raw_Data!L641</f>
        <v/>
      </c>
      <c r="M641" s="10">
        <f>Raw_Data!M641</f>
        <v/>
      </c>
      <c r="N641" s="10">
        <f>Raw_Data!N641</f>
        <v/>
      </c>
      <c r="O641" s="10">
        <f>Raw_Data!O641</f>
        <v/>
      </c>
      <c r="P641" s="11">
        <f>Raw_Data!P641</f>
        <v/>
      </c>
      <c r="R641" s="9">
        <f>IFERROR(Cleaned_Data!M641/Cleaned_Data!K641,0)</f>
        <v/>
      </c>
    </row>
    <row r="642">
      <c r="A642" s="7">
        <f>Raw_Data!A642</f>
        <v/>
      </c>
      <c r="B642" s="8">
        <f>Raw_Data!B642</f>
        <v/>
      </c>
      <c r="C642" s="8">
        <f>Raw_Data!C642</f>
        <v/>
      </c>
      <c r="D642" s="7">
        <f>Raw_Data!D642</f>
        <v/>
      </c>
      <c r="E642" s="7">
        <f>Raw_Data!E642</f>
        <v/>
      </c>
      <c r="F642" s="8">
        <f>Raw_Data!F642</f>
        <v/>
      </c>
      <c r="G642" s="8">
        <f>Raw_Data!G642</f>
        <v/>
      </c>
      <c r="H642" s="7">
        <f>Raw_Data!H642</f>
        <v/>
      </c>
      <c r="I642" s="7">
        <f>Raw_Data!I642</f>
        <v/>
      </c>
      <c r="J642" s="8">
        <f>Raw_Data!J642</f>
        <v/>
      </c>
      <c r="K642" s="8">
        <f>Raw_Data!K642</f>
        <v/>
      </c>
      <c r="L642" s="8">
        <f>Raw_Data!L642</f>
        <v/>
      </c>
      <c r="M642" s="7">
        <f>Raw_Data!M642</f>
        <v/>
      </c>
      <c r="N642" s="7">
        <f>Raw_Data!N642</f>
        <v/>
      </c>
      <c r="O642" s="7">
        <f>Raw_Data!O642</f>
        <v/>
      </c>
      <c r="P642" s="8">
        <f>Raw_Data!P642</f>
        <v/>
      </c>
      <c r="R642" s="9">
        <f>IFERROR(Cleaned_Data!M642/Cleaned_Data!K642,0)</f>
        <v/>
      </c>
    </row>
    <row r="643">
      <c r="A643" s="10">
        <f>Raw_Data!A643</f>
        <v/>
      </c>
      <c r="B643" s="11">
        <f>Raw_Data!B643</f>
        <v/>
      </c>
      <c r="C643" s="11">
        <f>Raw_Data!C643</f>
        <v/>
      </c>
      <c r="D643" s="10">
        <f>Raw_Data!D643</f>
        <v/>
      </c>
      <c r="E643" s="10">
        <f>Raw_Data!E643</f>
        <v/>
      </c>
      <c r="F643" s="11">
        <f>Raw_Data!F643</f>
        <v/>
      </c>
      <c r="G643" s="11">
        <f>Raw_Data!G643</f>
        <v/>
      </c>
      <c r="H643" s="10">
        <f>Raw_Data!H643</f>
        <v/>
      </c>
      <c r="I643" s="10">
        <f>Raw_Data!I643</f>
        <v/>
      </c>
      <c r="J643" s="11">
        <f>Raw_Data!J643</f>
        <v/>
      </c>
      <c r="K643" s="11">
        <f>Raw_Data!K643</f>
        <v/>
      </c>
      <c r="L643" s="11">
        <f>Raw_Data!L643</f>
        <v/>
      </c>
      <c r="M643" s="10">
        <f>Raw_Data!M643</f>
        <v/>
      </c>
      <c r="N643" s="10">
        <f>Raw_Data!N643</f>
        <v/>
      </c>
      <c r="O643" s="10">
        <f>Raw_Data!O643</f>
        <v/>
      </c>
      <c r="P643" s="11">
        <f>Raw_Data!P643</f>
        <v/>
      </c>
      <c r="R643" s="9">
        <f>IFERROR(Cleaned_Data!M643/Cleaned_Data!K643,0)</f>
        <v/>
      </c>
    </row>
    <row r="644">
      <c r="A644" s="7">
        <f>Raw_Data!A644</f>
        <v/>
      </c>
      <c r="B644" s="8">
        <f>Raw_Data!B644</f>
        <v/>
      </c>
      <c r="C644" s="8">
        <f>Raw_Data!C644</f>
        <v/>
      </c>
      <c r="D644" s="7">
        <f>Raw_Data!D644</f>
        <v/>
      </c>
      <c r="E644" s="7">
        <f>Raw_Data!E644</f>
        <v/>
      </c>
      <c r="F644" s="8">
        <f>Raw_Data!F644</f>
        <v/>
      </c>
      <c r="G644" s="8">
        <f>Raw_Data!G644</f>
        <v/>
      </c>
      <c r="H644" s="7">
        <f>Raw_Data!H644</f>
        <v/>
      </c>
      <c r="I644" s="7">
        <f>Raw_Data!I644</f>
        <v/>
      </c>
      <c r="J644" s="8">
        <f>Raw_Data!J644</f>
        <v/>
      </c>
      <c r="K644" s="8">
        <f>Raw_Data!K644</f>
        <v/>
      </c>
      <c r="L644" s="8">
        <f>Raw_Data!L644</f>
        <v/>
      </c>
      <c r="M644" s="7">
        <f>Raw_Data!M644</f>
        <v/>
      </c>
      <c r="N644" s="7">
        <f>Raw_Data!N644</f>
        <v/>
      </c>
      <c r="O644" s="7">
        <f>Raw_Data!O644</f>
        <v/>
      </c>
      <c r="P644" s="8">
        <f>Raw_Data!P644</f>
        <v/>
      </c>
      <c r="R644" s="9">
        <f>IFERROR(Cleaned_Data!M644/Cleaned_Data!K644,0)</f>
        <v/>
      </c>
    </row>
    <row r="645">
      <c r="A645" s="10">
        <f>Raw_Data!A645</f>
        <v/>
      </c>
      <c r="B645" s="11">
        <f>Raw_Data!B645</f>
        <v/>
      </c>
      <c r="C645" s="11">
        <f>Raw_Data!C645</f>
        <v/>
      </c>
      <c r="D645" s="10">
        <f>Raw_Data!D645</f>
        <v/>
      </c>
      <c r="E645" s="10">
        <f>Raw_Data!E645</f>
        <v/>
      </c>
      <c r="F645" s="11">
        <f>Raw_Data!F645</f>
        <v/>
      </c>
      <c r="G645" s="11">
        <f>Raw_Data!G645</f>
        <v/>
      </c>
      <c r="H645" s="10">
        <f>Raw_Data!H645</f>
        <v/>
      </c>
      <c r="I645" s="10">
        <f>Raw_Data!I645</f>
        <v/>
      </c>
      <c r="J645" s="11">
        <f>Raw_Data!J645</f>
        <v/>
      </c>
      <c r="K645" s="11">
        <f>Raw_Data!K645</f>
        <v/>
      </c>
      <c r="L645" s="11">
        <f>Raw_Data!L645</f>
        <v/>
      </c>
      <c r="M645" s="10">
        <f>Raw_Data!M645</f>
        <v/>
      </c>
      <c r="N645" s="10">
        <f>Raw_Data!N645</f>
        <v/>
      </c>
      <c r="O645" s="10">
        <f>Raw_Data!O645</f>
        <v/>
      </c>
      <c r="P645" s="11">
        <f>Raw_Data!P645</f>
        <v/>
      </c>
      <c r="R645" s="9">
        <f>IFERROR(Cleaned_Data!M645/Cleaned_Data!K645,0)</f>
        <v/>
      </c>
    </row>
    <row r="646">
      <c r="A646" s="7">
        <f>Raw_Data!A646</f>
        <v/>
      </c>
      <c r="B646" s="8">
        <f>Raw_Data!B646</f>
        <v/>
      </c>
      <c r="C646" s="8">
        <f>Raw_Data!C646</f>
        <v/>
      </c>
      <c r="D646" s="7">
        <f>Raw_Data!D646</f>
        <v/>
      </c>
      <c r="E646" s="7">
        <f>Raw_Data!E646</f>
        <v/>
      </c>
      <c r="F646" s="8">
        <f>Raw_Data!F646</f>
        <v/>
      </c>
      <c r="G646" s="8">
        <f>Raw_Data!G646</f>
        <v/>
      </c>
      <c r="H646" s="7">
        <f>Raw_Data!H646</f>
        <v/>
      </c>
      <c r="I646" s="7">
        <f>Raw_Data!I646</f>
        <v/>
      </c>
      <c r="J646" s="8">
        <f>Raw_Data!J646</f>
        <v/>
      </c>
      <c r="K646" s="8">
        <f>Raw_Data!K646</f>
        <v/>
      </c>
      <c r="L646" s="8">
        <f>Raw_Data!L646</f>
        <v/>
      </c>
      <c r="M646" s="7">
        <f>Raw_Data!M646</f>
        <v/>
      </c>
      <c r="N646" s="7">
        <f>Raw_Data!N646</f>
        <v/>
      </c>
      <c r="O646" s="7">
        <f>Raw_Data!O646</f>
        <v/>
      </c>
      <c r="P646" s="8">
        <f>Raw_Data!P646</f>
        <v/>
      </c>
      <c r="R646" s="9">
        <f>IFERROR(Cleaned_Data!M646/Cleaned_Data!K646,0)</f>
        <v/>
      </c>
    </row>
    <row r="647">
      <c r="A647" s="10">
        <f>Raw_Data!A647</f>
        <v/>
      </c>
      <c r="B647" s="11">
        <f>Raw_Data!B647</f>
        <v/>
      </c>
      <c r="C647" s="11">
        <f>Raw_Data!C647</f>
        <v/>
      </c>
      <c r="D647" s="10">
        <f>Raw_Data!D647</f>
        <v/>
      </c>
      <c r="E647" s="10">
        <f>Raw_Data!E647</f>
        <v/>
      </c>
      <c r="F647" s="11">
        <f>Raw_Data!F647</f>
        <v/>
      </c>
      <c r="G647" s="11">
        <f>Raw_Data!G647</f>
        <v/>
      </c>
      <c r="H647" s="10">
        <f>Raw_Data!H647</f>
        <v/>
      </c>
      <c r="I647" s="10">
        <f>Raw_Data!I647</f>
        <v/>
      </c>
      <c r="J647" s="11">
        <f>Raw_Data!J647</f>
        <v/>
      </c>
      <c r="K647" s="11">
        <f>Raw_Data!K647</f>
        <v/>
      </c>
      <c r="L647" s="11">
        <f>Raw_Data!L647</f>
        <v/>
      </c>
      <c r="M647" s="10">
        <f>Raw_Data!M647</f>
        <v/>
      </c>
      <c r="N647" s="10">
        <f>Raw_Data!N647</f>
        <v/>
      </c>
      <c r="O647" s="10">
        <f>Raw_Data!O647</f>
        <v/>
      </c>
      <c r="P647" s="11">
        <f>Raw_Data!P647</f>
        <v/>
      </c>
      <c r="R647" s="9">
        <f>IFERROR(Cleaned_Data!M647/Cleaned_Data!K647,0)</f>
        <v/>
      </c>
    </row>
    <row r="648">
      <c r="A648" s="7">
        <f>Raw_Data!A648</f>
        <v/>
      </c>
      <c r="B648" s="8">
        <f>Raw_Data!B648</f>
        <v/>
      </c>
      <c r="C648" s="8">
        <f>Raw_Data!C648</f>
        <v/>
      </c>
      <c r="D648" s="7">
        <f>Raw_Data!D648</f>
        <v/>
      </c>
      <c r="E648" s="7">
        <f>Raw_Data!E648</f>
        <v/>
      </c>
      <c r="F648" s="8">
        <f>Raw_Data!F648</f>
        <v/>
      </c>
      <c r="G648" s="8">
        <f>Raw_Data!G648</f>
        <v/>
      </c>
      <c r="H648" s="7">
        <f>Raw_Data!H648</f>
        <v/>
      </c>
      <c r="I648" s="7">
        <f>Raw_Data!I648</f>
        <v/>
      </c>
      <c r="J648" s="8">
        <f>Raw_Data!J648</f>
        <v/>
      </c>
      <c r="K648" s="8">
        <f>Raw_Data!K648</f>
        <v/>
      </c>
      <c r="L648" s="8">
        <f>Raw_Data!L648</f>
        <v/>
      </c>
      <c r="M648" s="7">
        <f>Raw_Data!M648</f>
        <v/>
      </c>
      <c r="N648" s="7">
        <f>Raw_Data!N648</f>
        <v/>
      </c>
      <c r="O648" s="7">
        <f>Raw_Data!O648</f>
        <v/>
      </c>
      <c r="P648" s="8">
        <f>Raw_Data!P648</f>
        <v/>
      </c>
      <c r="R648" s="9">
        <f>IFERROR(Cleaned_Data!M648/Cleaned_Data!K648,0)</f>
        <v/>
      </c>
    </row>
    <row r="649">
      <c r="A649" s="10">
        <f>Raw_Data!A649</f>
        <v/>
      </c>
      <c r="B649" s="11">
        <f>Raw_Data!B649</f>
        <v/>
      </c>
      <c r="C649" s="11">
        <f>Raw_Data!C649</f>
        <v/>
      </c>
      <c r="D649" s="10">
        <f>Raw_Data!D649</f>
        <v/>
      </c>
      <c r="E649" s="10">
        <f>Raw_Data!E649</f>
        <v/>
      </c>
      <c r="F649" s="11">
        <f>Raw_Data!F649</f>
        <v/>
      </c>
      <c r="G649" s="11">
        <f>Raw_Data!G649</f>
        <v/>
      </c>
      <c r="H649" s="10">
        <f>Raw_Data!H649</f>
        <v/>
      </c>
      <c r="I649" s="10">
        <f>Raw_Data!I649</f>
        <v/>
      </c>
      <c r="J649" s="11">
        <f>Raw_Data!J649</f>
        <v/>
      </c>
      <c r="K649" s="11">
        <f>Raw_Data!K649</f>
        <v/>
      </c>
      <c r="L649" s="11">
        <f>Raw_Data!L649</f>
        <v/>
      </c>
      <c r="M649" s="10">
        <f>Raw_Data!M649</f>
        <v/>
      </c>
      <c r="N649" s="10">
        <f>Raw_Data!N649</f>
        <v/>
      </c>
      <c r="O649" s="10">
        <f>Raw_Data!O649</f>
        <v/>
      </c>
      <c r="P649" s="11">
        <f>Raw_Data!P649</f>
        <v/>
      </c>
      <c r="R649" s="9">
        <f>IFERROR(Cleaned_Data!M649/Cleaned_Data!K649,0)</f>
        <v/>
      </c>
    </row>
    <row r="650">
      <c r="A650" s="7">
        <f>Raw_Data!A650</f>
        <v/>
      </c>
      <c r="B650" s="8">
        <f>Raw_Data!B650</f>
        <v/>
      </c>
      <c r="C650" s="8">
        <f>Raw_Data!C650</f>
        <v/>
      </c>
      <c r="D650" s="7">
        <f>Raw_Data!D650</f>
        <v/>
      </c>
      <c r="E650" s="7">
        <f>Raw_Data!E650</f>
        <v/>
      </c>
      <c r="F650" s="8">
        <f>Raw_Data!F650</f>
        <v/>
      </c>
      <c r="G650" s="8">
        <f>Raw_Data!G650</f>
        <v/>
      </c>
      <c r="H650" s="7">
        <f>Raw_Data!H650</f>
        <v/>
      </c>
      <c r="I650" s="7">
        <f>Raw_Data!I650</f>
        <v/>
      </c>
      <c r="J650" s="8">
        <f>Raw_Data!J650</f>
        <v/>
      </c>
      <c r="K650" s="8">
        <f>Raw_Data!K650</f>
        <v/>
      </c>
      <c r="L650" s="8">
        <f>Raw_Data!L650</f>
        <v/>
      </c>
      <c r="M650" s="7">
        <f>Raw_Data!M650</f>
        <v/>
      </c>
      <c r="N650" s="7">
        <f>Raw_Data!N650</f>
        <v/>
      </c>
      <c r="O650" s="7">
        <f>Raw_Data!O650</f>
        <v/>
      </c>
      <c r="P650" s="8">
        <f>Raw_Data!P650</f>
        <v/>
      </c>
      <c r="R650" s="9">
        <f>IFERROR(Cleaned_Data!M650/Cleaned_Data!K650,0)</f>
        <v/>
      </c>
    </row>
    <row r="651">
      <c r="A651" s="10">
        <f>Raw_Data!A651</f>
        <v/>
      </c>
      <c r="B651" s="11">
        <f>Raw_Data!B651</f>
        <v/>
      </c>
      <c r="C651" s="11">
        <f>Raw_Data!C651</f>
        <v/>
      </c>
      <c r="D651" s="10">
        <f>Raw_Data!D651</f>
        <v/>
      </c>
      <c r="E651" s="10">
        <f>Raw_Data!E651</f>
        <v/>
      </c>
      <c r="F651" s="11">
        <f>Raw_Data!F651</f>
        <v/>
      </c>
      <c r="G651" s="11">
        <f>Raw_Data!G651</f>
        <v/>
      </c>
      <c r="H651" s="10">
        <f>Raw_Data!H651</f>
        <v/>
      </c>
      <c r="I651" s="10">
        <f>Raw_Data!I651</f>
        <v/>
      </c>
      <c r="J651" s="11">
        <f>Raw_Data!J651</f>
        <v/>
      </c>
      <c r="K651" s="11">
        <f>Raw_Data!K651</f>
        <v/>
      </c>
      <c r="L651" s="11">
        <f>Raw_Data!L651</f>
        <v/>
      </c>
      <c r="M651" s="10">
        <f>Raw_Data!M651</f>
        <v/>
      </c>
      <c r="N651" s="10">
        <f>Raw_Data!N651</f>
        <v/>
      </c>
      <c r="O651" s="10">
        <f>Raw_Data!O651</f>
        <v/>
      </c>
      <c r="P651" s="11">
        <f>Raw_Data!P651</f>
        <v/>
      </c>
      <c r="R651" s="9">
        <f>IFERROR(Cleaned_Data!M651/Cleaned_Data!K651,0)</f>
        <v/>
      </c>
    </row>
    <row r="652">
      <c r="A652" s="7">
        <f>Raw_Data!A652</f>
        <v/>
      </c>
      <c r="B652" s="8">
        <f>Raw_Data!B652</f>
        <v/>
      </c>
      <c r="C652" s="8">
        <f>Raw_Data!C652</f>
        <v/>
      </c>
      <c r="D652" s="7">
        <f>Raw_Data!D652</f>
        <v/>
      </c>
      <c r="E652" s="7">
        <f>Raw_Data!E652</f>
        <v/>
      </c>
      <c r="F652" s="8">
        <f>Raw_Data!F652</f>
        <v/>
      </c>
      <c r="G652" s="8">
        <f>Raw_Data!G652</f>
        <v/>
      </c>
      <c r="H652" s="7">
        <f>Raw_Data!H652</f>
        <v/>
      </c>
      <c r="I652" s="7">
        <f>Raw_Data!I652</f>
        <v/>
      </c>
      <c r="J652" s="8">
        <f>Raw_Data!J652</f>
        <v/>
      </c>
      <c r="K652" s="8">
        <f>Raw_Data!K652</f>
        <v/>
      </c>
      <c r="L652" s="8">
        <f>Raw_Data!L652</f>
        <v/>
      </c>
      <c r="M652" s="7">
        <f>Raw_Data!M652</f>
        <v/>
      </c>
      <c r="N652" s="7">
        <f>Raw_Data!N652</f>
        <v/>
      </c>
      <c r="O652" s="7">
        <f>Raw_Data!O652</f>
        <v/>
      </c>
      <c r="P652" s="8">
        <f>Raw_Data!P652</f>
        <v/>
      </c>
      <c r="R652" s="9">
        <f>IFERROR(Cleaned_Data!M652/Cleaned_Data!K652,0)</f>
        <v/>
      </c>
    </row>
    <row r="653">
      <c r="A653" s="10">
        <f>Raw_Data!A653</f>
        <v/>
      </c>
      <c r="B653" s="11">
        <f>Raw_Data!B653</f>
        <v/>
      </c>
      <c r="C653" s="11">
        <f>Raw_Data!C653</f>
        <v/>
      </c>
      <c r="D653" s="10">
        <f>Raw_Data!D653</f>
        <v/>
      </c>
      <c r="E653" s="10">
        <f>Raw_Data!E653</f>
        <v/>
      </c>
      <c r="F653" s="11">
        <f>Raw_Data!F653</f>
        <v/>
      </c>
      <c r="G653" s="11">
        <f>Raw_Data!G653</f>
        <v/>
      </c>
      <c r="H653" s="10">
        <f>Raw_Data!H653</f>
        <v/>
      </c>
      <c r="I653" s="10">
        <f>Raw_Data!I653</f>
        <v/>
      </c>
      <c r="J653" s="11">
        <f>Raw_Data!J653</f>
        <v/>
      </c>
      <c r="K653" s="11">
        <f>Raw_Data!K653</f>
        <v/>
      </c>
      <c r="L653" s="11">
        <f>Raw_Data!L653</f>
        <v/>
      </c>
      <c r="M653" s="10">
        <f>Raw_Data!M653</f>
        <v/>
      </c>
      <c r="N653" s="10">
        <f>Raw_Data!N653</f>
        <v/>
      </c>
      <c r="O653" s="10">
        <f>Raw_Data!O653</f>
        <v/>
      </c>
      <c r="P653" s="11">
        <f>Raw_Data!P653</f>
        <v/>
      </c>
      <c r="R653" s="9">
        <f>IFERROR(Cleaned_Data!M653/Cleaned_Data!K653,0)</f>
        <v/>
      </c>
    </row>
    <row r="654">
      <c r="A654" s="7">
        <f>Raw_Data!A654</f>
        <v/>
      </c>
      <c r="B654" s="8">
        <f>Raw_Data!B654</f>
        <v/>
      </c>
      <c r="C654" s="8">
        <f>Raw_Data!C654</f>
        <v/>
      </c>
      <c r="D654" s="7">
        <f>Raw_Data!D654</f>
        <v/>
      </c>
      <c r="E654" s="7">
        <f>Raw_Data!E654</f>
        <v/>
      </c>
      <c r="F654" s="8">
        <f>Raw_Data!F654</f>
        <v/>
      </c>
      <c r="G654" s="8">
        <f>Raw_Data!G654</f>
        <v/>
      </c>
      <c r="H654" s="7">
        <f>Raw_Data!H654</f>
        <v/>
      </c>
      <c r="I654" s="7">
        <f>Raw_Data!I654</f>
        <v/>
      </c>
      <c r="J654" s="8">
        <f>Raw_Data!J654</f>
        <v/>
      </c>
      <c r="K654" s="8">
        <f>Raw_Data!K654</f>
        <v/>
      </c>
      <c r="L654" s="8">
        <f>Raw_Data!L654</f>
        <v/>
      </c>
      <c r="M654" s="7">
        <f>Raw_Data!M654</f>
        <v/>
      </c>
      <c r="N654" s="7">
        <f>Raw_Data!N654</f>
        <v/>
      </c>
      <c r="O654" s="7">
        <f>Raw_Data!O654</f>
        <v/>
      </c>
      <c r="P654" s="8">
        <f>Raw_Data!P654</f>
        <v/>
      </c>
      <c r="R654" s="9">
        <f>IFERROR(Cleaned_Data!M654/Cleaned_Data!K654,0)</f>
        <v/>
      </c>
    </row>
    <row r="655">
      <c r="A655" s="10">
        <f>Raw_Data!A655</f>
        <v/>
      </c>
      <c r="B655" s="11">
        <f>Raw_Data!B655</f>
        <v/>
      </c>
      <c r="C655" s="11">
        <f>Raw_Data!C655</f>
        <v/>
      </c>
      <c r="D655" s="10">
        <f>Raw_Data!D655</f>
        <v/>
      </c>
      <c r="E655" s="10">
        <f>Raw_Data!E655</f>
        <v/>
      </c>
      <c r="F655" s="11">
        <f>Raw_Data!F655</f>
        <v/>
      </c>
      <c r="G655" s="11">
        <f>Raw_Data!G655</f>
        <v/>
      </c>
      <c r="H655" s="10">
        <f>Raw_Data!H655</f>
        <v/>
      </c>
      <c r="I655" s="10">
        <f>Raw_Data!I655</f>
        <v/>
      </c>
      <c r="J655" s="11">
        <f>Raw_Data!J655</f>
        <v/>
      </c>
      <c r="K655" s="11">
        <f>Raw_Data!K655</f>
        <v/>
      </c>
      <c r="L655" s="11">
        <f>Raw_Data!L655</f>
        <v/>
      </c>
      <c r="M655" s="10">
        <f>Raw_Data!M655</f>
        <v/>
      </c>
      <c r="N655" s="10">
        <f>Raw_Data!N655</f>
        <v/>
      </c>
      <c r="O655" s="10">
        <f>Raw_Data!O655</f>
        <v/>
      </c>
      <c r="P655" s="11">
        <f>Raw_Data!P655</f>
        <v/>
      </c>
      <c r="R655" s="9">
        <f>IFERROR(Cleaned_Data!M655/Cleaned_Data!K655,0)</f>
        <v/>
      </c>
    </row>
    <row r="656">
      <c r="A656" s="7">
        <f>Raw_Data!A656</f>
        <v/>
      </c>
      <c r="B656" s="8">
        <f>Raw_Data!B656</f>
        <v/>
      </c>
      <c r="C656" s="8">
        <f>Raw_Data!C656</f>
        <v/>
      </c>
      <c r="D656" s="7">
        <f>Raw_Data!D656</f>
        <v/>
      </c>
      <c r="E656" s="7">
        <f>Raw_Data!E656</f>
        <v/>
      </c>
      <c r="F656" s="8">
        <f>Raw_Data!F656</f>
        <v/>
      </c>
      <c r="G656" s="8">
        <f>Raw_Data!G656</f>
        <v/>
      </c>
      <c r="H656" s="7">
        <f>Raw_Data!H656</f>
        <v/>
      </c>
      <c r="I656" s="7">
        <f>Raw_Data!I656</f>
        <v/>
      </c>
      <c r="J656" s="8">
        <f>Raw_Data!J656</f>
        <v/>
      </c>
      <c r="K656" s="8">
        <f>Raw_Data!K656</f>
        <v/>
      </c>
      <c r="L656" s="8">
        <f>Raw_Data!L656</f>
        <v/>
      </c>
      <c r="M656" s="7">
        <f>Raw_Data!M656</f>
        <v/>
      </c>
      <c r="N656" s="7">
        <f>Raw_Data!N656</f>
        <v/>
      </c>
      <c r="O656" s="7">
        <f>Raw_Data!O656</f>
        <v/>
      </c>
      <c r="P656" s="8">
        <f>Raw_Data!P656</f>
        <v/>
      </c>
      <c r="R656" s="9">
        <f>IFERROR(Cleaned_Data!M656/Cleaned_Data!K656,0)</f>
        <v/>
      </c>
    </row>
    <row r="657">
      <c r="A657" s="10">
        <f>Raw_Data!A657</f>
        <v/>
      </c>
      <c r="B657" s="11">
        <f>Raw_Data!B657</f>
        <v/>
      </c>
      <c r="C657" s="11">
        <f>Raw_Data!C657</f>
        <v/>
      </c>
      <c r="D657" s="10">
        <f>Raw_Data!D657</f>
        <v/>
      </c>
      <c r="E657" s="10">
        <f>Raw_Data!E657</f>
        <v/>
      </c>
      <c r="F657" s="11">
        <f>Raw_Data!F657</f>
        <v/>
      </c>
      <c r="G657" s="11">
        <f>Raw_Data!G657</f>
        <v/>
      </c>
      <c r="H657" s="10">
        <f>Raw_Data!H657</f>
        <v/>
      </c>
      <c r="I657" s="10">
        <f>Raw_Data!I657</f>
        <v/>
      </c>
      <c r="J657" s="11">
        <f>Raw_Data!J657</f>
        <v/>
      </c>
      <c r="K657" s="11">
        <f>Raw_Data!K657</f>
        <v/>
      </c>
      <c r="L657" s="11">
        <f>Raw_Data!L657</f>
        <v/>
      </c>
      <c r="M657" s="10">
        <f>Raw_Data!M657</f>
        <v/>
      </c>
      <c r="N657" s="10">
        <f>Raw_Data!N657</f>
        <v/>
      </c>
      <c r="O657" s="10">
        <f>Raw_Data!O657</f>
        <v/>
      </c>
      <c r="P657" s="11">
        <f>Raw_Data!P657</f>
        <v/>
      </c>
      <c r="R657" s="9">
        <f>IFERROR(Cleaned_Data!M657/Cleaned_Data!K657,0)</f>
        <v/>
      </c>
    </row>
    <row r="658">
      <c r="A658" s="7">
        <f>Raw_Data!A658</f>
        <v/>
      </c>
      <c r="B658" s="8">
        <f>Raw_Data!B658</f>
        <v/>
      </c>
      <c r="C658" s="8">
        <f>Raw_Data!C658</f>
        <v/>
      </c>
      <c r="D658" s="7">
        <f>Raw_Data!D658</f>
        <v/>
      </c>
      <c r="E658" s="7">
        <f>Raw_Data!E658</f>
        <v/>
      </c>
      <c r="F658" s="8">
        <f>Raw_Data!F658</f>
        <v/>
      </c>
      <c r="G658" s="8">
        <f>Raw_Data!G658</f>
        <v/>
      </c>
      <c r="H658" s="7">
        <f>Raw_Data!H658</f>
        <v/>
      </c>
      <c r="I658" s="7">
        <f>Raw_Data!I658</f>
        <v/>
      </c>
      <c r="J658" s="8">
        <f>Raw_Data!J658</f>
        <v/>
      </c>
      <c r="K658" s="8">
        <f>Raw_Data!K658</f>
        <v/>
      </c>
      <c r="L658" s="8">
        <f>Raw_Data!L658</f>
        <v/>
      </c>
      <c r="M658" s="7">
        <f>Raw_Data!M658</f>
        <v/>
      </c>
      <c r="N658" s="7">
        <f>Raw_Data!N658</f>
        <v/>
      </c>
      <c r="O658" s="7">
        <f>Raw_Data!O658</f>
        <v/>
      </c>
      <c r="P658" s="8">
        <f>Raw_Data!P658</f>
        <v/>
      </c>
      <c r="R658" s="9">
        <f>IFERROR(Cleaned_Data!M658/Cleaned_Data!K658,0)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2" t="inlineStr">
        <is>
          <t>📊  SALES &amp; REVENUE GROWTH TRACKER — KPI SUMMARY (2024)</t>
        </is>
      </c>
    </row>
    <row r="3">
      <c r="A3" s="13" t="inlineStr">
        <is>
          <t>KEY PERFORMANCE INDICATORS</t>
        </is>
      </c>
    </row>
    <row r="4" ht="28" customHeight="1">
      <c r="A4" s="14" t="inlineStr">
        <is>
          <t>Total Revenue (₹)</t>
        </is>
      </c>
      <c r="B4" s="15" t="n"/>
      <c r="C4" s="16" t="inlineStr">
        <is>
          <t>Total Profit (₹)</t>
        </is>
      </c>
      <c r="D4" s="15" t="n"/>
      <c r="E4" s="17" t="inlineStr">
        <is>
          <t>Total Units Sold</t>
        </is>
      </c>
      <c r="F4" s="15" t="n"/>
      <c r="G4" s="18" t="inlineStr">
        <is>
          <t>Total Orders</t>
        </is>
      </c>
      <c r="H4" s="15" t="n"/>
    </row>
    <row r="5" ht="36" customHeight="1">
      <c r="A5" s="19">
        <f>SUM(Cleaned_Data!K2:K658)</f>
        <v/>
      </c>
      <c r="B5" s="15" t="n"/>
      <c r="C5" s="19">
        <f>SUM(Cleaned_Data!M2:M658)</f>
        <v/>
      </c>
      <c r="D5" s="15" t="n"/>
      <c r="E5" s="20">
        <f>SUM(Cleaned_Data!I2:I658)</f>
        <v/>
      </c>
      <c r="F5" s="15" t="n"/>
      <c r="G5" s="20">
        <f>COUNTA(Cleaned_Data!A2:A658)</f>
        <v/>
      </c>
      <c r="H5" s="15" t="n"/>
    </row>
    <row r="7" ht="28" customHeight="1">
      <c r="A7" s="16" t="inlineStr">
        <is>
          <t>Avg Profit Margin</t>
        </is>
      </c>
      <c r="B7" s="15" t="n"/>
      <c r="C7" s="21" t="inlineStr">
        <is>
          <t>Avg Achievement %</t>
        </is>
      </c>
      <c r="D7" s="15" t="n"/>
      <c r="E7" s="22" t="inlineStr">
        <is>
          <t>Online Revenue</t>
        </is>
      </c>
      <c r="F7" s="15" t="n"/>
      <c r="G7" s="23" t="inlineStr">
        <is>
          <t>Offline Revenue</t>
        </is>
      </c>
      <c r="H7" s="15" t="n"/>
    </row>
    <row r="8" ht="36" customHeight="1">
      <c r="A8" s="24">
        <f>AVERAGE(Cleaned_Data!R2:R658)</f>
        <v/>
      </c>
      <c r="B8" s="15" t="n"/>
      <c r="C8" s="24">
        <f>AVERAGE(Cleaned_Data!Q2:Q658)</f>
        <v/>
      </c>
      <c r="D8" s="15" t="n"/>
      <c r="E8" s="19">
        <f>SUMIF(Cleaned_Data!O2:O658,"Online",Cleaned_Data!K2:K658)</f>
        <v/>
      </c>
      <c r="F8" s="15" t="n"/>
      <c r="G8" s="19">
        <f>SUMIF(Cleaned_Data!O2:O658,"Offline",Cleaned_Data!K2:K658)</f>
        <v/>
      </c>
      <c r="H8" s="15" t="n"/>
    </row>
    <row r="14" ht="28" customHeight="1">
      <c r="A14" s="25" t="inlineStr">
        <is>
          <t>REVENUE BY REGION</t>
        </is>
      </c>
      <c r="F14" s="25" t="inlineStr">
        <is>
          <t>REVENUE BY PRODUCT CATEGORY</t>
        </is>
      </c>
    </row>
    <row r="15">
      <c r="A15" s="26" t="inlineStr">
        <is>
          <t>Region</t>
        </is>
      </c>
      <c r="B15" s="26" t="inlineStr">
        <is>
          <t>Total Revenue (₹)</t>
        </is>
      </c>
      <c r="C15" s="26" t="inlineStr">
        <is>
          <t>Total Profit (₹)</t>
        </is>
      </c>
      <c r="D15" s="26" t="inlineStr">
        <is>
          <t>Orders Count</t>
        </is>
      </c>
      <c r="F15" s="26" t="inlineStr">
        <is>
          <t>Category</t>
        </is>
      </c>
      <c r="G15" s="26" t="inlineStr">
        <is>
          <t>Revenue (₹)</t>
        </is>
      </c>
      <c r="H15" s="26" t="inlineStr">
        <is>
          <t>Profit (₹)</t>
        </is>
      </c>
    </row>
    <row r="16">
      <c r="A16" s="27" t="inlineStr">
        <is>
          <t>North</t>
        </is>
      </c>
      <c r="B16" s="28">
        <f>SUMIF(Cleaned_Data!D:D,"North",Cleaned_Data!K:K)</f>
        <v/>
      </c>
      <c r="C16" s="28">
        <f>SUMIF(Cleaned_Data!D:D,"North",Cleaned_Data!M:M)</f>
        <v/>
      </c>
      <c r="D16" s="29">
        <f>COUNTIF(Cleaned_Data!D:D,"North")</f>
        <v/>
      </c>
      <c r="F16" s="30" t="inlineStr">
        <is>
          <t>Electronics</t>
        </is>
      </c>
      <c r="G16" s="31">
        <f>SUMIF(Cleaned_Data!G:G,"Electronics",Cleaned_Data!K:K)</f>
        <v/>
      </c>
      <c r="H16" s="31">
        <f>SUMIF(Cleaned_Data!G:G,"Electronics",Cleaned_Data!M:M)</f>
        <v/>
      </c>
    </row>
    <row r="17">
      <c r="A17" s="32" t="inlineStr">
        <is>
          <t>South</t>
        </is>
      </c>
      <c r="B17" s="33">
        <f>SUMIF(Cleaned_Data!D:D,"South",Cleaned_Data!K:K)</f>
        <v/>
      </c>
      <c r="C17" s="33">
        <f>SUMIF(Cleaned_Data!D:D,"South",Cleaned_Data!M:M)</f>
        <v/>
      </c>
      <c r="D17" s="34">
        <f>COUNTIF(Cleaned_Data!D:D,"South")</f>
        <v/>
      </c>
      <c r="F17" s="32" t="inlineStr">
        <is>
          <t>Furniture</t>
        </is>
      </c>
      <c r="G17" s="33">
        <f>SUMIF(Cleaned_Data!G:G,"Furniture",Cleaned_Data!K:K)</f>
        <v/>
      </c>
      <c r="H17" s="33">
        <f>SUMIF(Cleaned_Data!G:G,"Furniture",Cleaned_Data!M:M)</f>
        <v/>
      </c>
    </row>
    <row r="18">
      <c r="A18" s="27" t="inlineStr">
        <is>
          <t>East</t>
        </is>
      </c>
      <c r="B18" s="28">
        <f>SUMIF(Cleaned_Data!D:D,"East",Cleaned_Data!K:K)</f>
        <v/>
      </c>
      <c r="C18" s="28">
        <f>SUMIF(Cleaned_Data!D:D,"East",Cleaned_Data!M:M)</f>
        <v/>
      </c>
      <c r="D18" s="29">
        <f>COUNTIF(Cleaned_Data!D:D,"East")</f>
        <v/>
      </c>
      <c r="F18" s="30" t="inlineStr">
        <is>
          <t>Apparel</t>
        </is>
      </c>
      <c r="G18" s="31">
        <f>SUMIF(Cleaned_Data!G:G,"Apparel",Cleaned_Data!K:K)</f>
        <v/>
      </c>
      <c r="H18" s="31">
        <f>SUMIF(Cleaned_Data!G:G,"Apparel",Cleaned_Data!M:M)</f>
        <v/>
      </c>
    </row>
    <row r="19">
      <c r="A19" s="32" t="inlineStr">
        <is>
          <t>West</t>
        </is>
      </c>
      <c r="B19" s="33">
        <f>SUMIF(Cleaned_Data!D:D,"West",Cleaned_Data!K:K)</f>
        <v/>
      </c>
      <c r="C19" s="33">
        <f>SUMIF(Cleaned_Data!D:D,"West",Cleaned_Data!M:M)</f>
        <v/>
      </c>
      <c r="D19" s="34">
        <f>COUNTIF(Cleaned_Data!D:D,"West")</f>
        <v/>
      </c>
      <c r="F19" s="32" t="inlineStr">
        <is>
          <t>Software</t>
        </is>
      </c>
      <c r="G19" s="33">
        <f>SUMIF(Cleaned_Data!G:G,"Software",Cleaned_Data!K:K)</f>
        <v/>
      </c>
      <c r="H19" s="33">
        <f>SUMIF(Cleaned_Data!G:G,"Software",Cleaned_Data!M:M)</f>
        <v/>
      </c>
    </row>
  </sheetData>
  <mergeCells count="20"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3:H3"/>
    <mergeCell ref="F14:H14"/>
    <mergeCell ref="A5:B5"/>
    <mergeCell ref="G5:H5"/>
    <mergeCell ref="A8:B8"/>
    <mergeCell ref="C8:D8"/>
    <mergeCell ref="A4:B4"/>
    <mergeCell ref="G4:H4"/>
    <mergeCell ref="C7:D7"/>
    <mergeCell ref="E7:F7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26" customWidth="1" min="4" max="4"/>
  </cols>
  <sheetData>
    <row r="1" ht="36" customHeight="1">
      <c r="A1" s="12" t="inlineStr">
        <is>
          <t>Excel Formulas Used in This Project</t>
        </is>
      </c>
    </row>
    <row r="2" ht="28" customHeight="1">
      <c r="A2" s="26" t="inlineStr">
        <is>
          <t>Formula</t>
        </is>
      </c>
      <c r="B2" s="26" t="inlineStr">
        <is>
          <t>Syntax</t>
        </is>
      </c>
      <c r="C2" s="26" t="inlineStr">
        <is>
          <t>Purpose</t>
        </is>
      </c>
      <c r="D2" s="26" t="inlineStr">
        <is>
          <t>Example</t>
        </is>
      </c>
    </row>
    <row r="3" ht="22" customHeight="1">
      <c r="A3" s="35" t="inlineStr">
        <is>
          <t>SUM</t>
        </is>
      </c>
      <c r="B3" s="36">
        <f>SUM(range)</f>
        <v/>
      </c>
      <c r="C3" s="37" t="inlineStr">
        <is>
          <t>Adds all values in a range</t>
        </is>
      </c>
      <c r="D3" s="37">
        <f>SUM(K2:K500)</f>
        <v/>
      </c>
    </row>
    <row r="4" ht="22" customHeight="1">
      <c r="A4" s="38" t="inlineStr">
        <is>
          <t>SUMIFS</t>
        </is>
      </c>
      <c r="B4" s="39">
        <f>SUMIFS(sum_range,criteria_range1,c1)</f>
        <v/>
      </c>
      <c r="C4" s="40" t="inlineStr">
        <is>
          <t>Conditional sum with multiple criteria</t>
        </is>
      </c>
      <c r="D4" s="40">
        <f>SUMIFS(K:K,D:D,"North")</f>
        <v/>
      </c>
    </row>
    <row r="5" ht="22" customHeight="1">
      <c r="A5" s="35" t="inlineStr">
        <is>
          <t>IF</t>
        </is>
      </c>
      <c r="B5" s="36">
        <f>IF(condition,true,false)</f>
        <v/>
      </c>
      <c r="C5" s="37" t="inlineStr">
        <is>
          <t>Returns value based on condition</t>
        </is>
      </c>
      <c r="D5" s="37">
        <f>IF(Q2&gt;=100%,"Met","Not Met")</f>
        <v/>
      </c>
    </row>
    <row r="6" ht="22" customHeight="1">
      <c r="A6" s="38" t="inlineStr">
        <is>
          <t>IFERROR</t>
        </is>
      </c>
      <c r="B6" s="39">
        <f>IFERROR(formula,fallback)</f>
        <v/>
      </c>
      <c r="C6" s="40" t="inlineStr">
        <is>
          <t>Handles errors gracefully</t>
        </is>
      </c>
      <c r="D6" s="40">
        <f>IFERROR(K2/P2,0)</f>
        <v/>
      </c>
    </row>
    <row r="7" ht="22" customHeight="1">
      <c r="A7" s="35" t="inlineStr">
        <is>
          <t>COUNTIFS</t>
        </is>
      </c>
      <c r="B7" s="36">
        <f>COUNTIFS(range1,criteria1,...)</f>
        <v/>
      </c>
      <c r="C7" s="37" t="inlineStr">
        <is>
          <t>Count rows meeting multiple criteria</t>
        </is>
      </c>
      <c r="D7" s="37">
        <f>COUNTIFS(D:D,"South",O:O,"Online")</f>
        <v/>
      </c>
    </row>
    <row r="8" ht="22" customHeight="1">
      <c r="A8" s="38" t="inlineStr">
        <is>
          <t>XLOOKUP</t>
        </is>
      </c>
      <c r="B8" s="39">
        <f>XLOOKUP(val,lookup,return)</f>
        <v/>
      </c>
      <c r="C8" s="40" t="inlineStr">
        <is>
          <t>Modern lookup — replaces VLOOKUP</t>
        </is>
      </c>
      <c r="D8" s="40">
        <f>XLOOKUP(A2,Raw_Data!A:A,Raw_Data!F:F)</f>
        <v/>
      </c>
    </row>
    <row r="9" ht="22" customHeight="1">
      <c r="A9" s="35" t="inlineStr">
        <is>
          <t>VLOOKUP</t>
        </is>
      </c>
      <c r="B9" s="36">
        <f>VLOOKUP(val,table,col,0)</f>
        <v/>
      </c>
      <c r="C9" s="37" t="inlineStr">
        <is>
          <t>Vertical lookup in a table</t>
        </is>
      </c>
      <c r="D9" s="37">
        <f>VLOOKUP(A2,Raw_Data!A:F,6,0)</f>
        <v/>
      </c>
    </row>
    <row r="10" ht="22" customHeight="1">
      <c r="A10" s="38" t="inlineStr">
        <is>
          <t>INDEX-MATCH</t>
        </is>
      </c>
      <c r="B10" s="39">
        <f>INDEX(return,MATCH(val,lookup,0))</f>
        <v/>
      </c>
      <c r="C10" s="40" t="inlineStr">
        <is>
          <t>Flexible 2-way lookup</t>
        </is>
      </c>
      <c r="D10" s="40">
        <f>INDEX(F:F,MATCH(A2,A:A,0))</f>
        <v/>
      </c>
    </row>
    <row r="11" ht="22" customHeight="1">
      <c r="A11" s="35" t="inlineStr">
        <is>
          <t>Revenue</t>
        </is>
      </c>
      <c r="B11" s="36">
        <f>Units_Sold * Selling_Price</f>
        <v/>
      </c>
      <c r="C11" s="37" t="inlineStr">
        <is>
          <t>Basic revenue calculation</t>
        </is>
      </c>
      <c r="D11" s="37">
        <f>I2*J2</f>
        <v/>
      </c>
    </row>
    <row r="12" ht="22" customHeight="1">
      <c r="A12" s="38" t="inlineStr">
        <is>
          <t>Profit</t>
        </is>
      </c>
      <c r="B12" s="39">
        <f>Revenue - Cost</f>
        <v/>
      </c>
      <c r="C12" s="40" t="inlineStr">
        <is>
          <t>Net profit per transaction</t>
        </is>
      </c>
      <c r="D12" s="40">
        <f>K2-L2</f>
        <v/>
      </c>
    </row>
    <row r="13" ht="22" customHeight="1">
      <c r="A13" s="35" t="inlineStr">
        <is>
          <t>Profit%</t>
        </is>
      </c>
      <c r="B13" s="36">
        <f>Profit / Revenue</f>
        <v/>
      </c>
      <c r="C13" s="37" t="inlineStr">
        <is>
          <t>Profit margin percentage</t>
        </is>
      </c>
      <c r="D13" s="37">
        <f>M2/K2</f>
        <v/>
      </c>
    </row>
    <row r="14" ht="22" customHeight="1">
      <c r="A14" s="38" t="inlineStr">
        <is>
          <t>Achievement%</t>
        </is>
      </c>
      <c r="B14" s="39">
        <f>Revenue / Target</f>
        <v/>
      </c>
      <c r="C14" s="40" t="inlineStr">
        <is>
          <t>Actual vs target performance</t>
        </is>
      </c>
      <c r="D14" s="40">
        <f>K2/P2</f>
        <v/>
      </c>
    </row>
    <row r="15" ht="22" customHeight="1">
      <c r="A15" s="35" t="inlineStr">
        <is>
          <t>MoM Growth%</t>
        </is>
      </c>
      <c r="B15" s="36">
        <f>(Current-Previous)/Previous</f>
        <v/>
      </c>
      <c r="C15" s="37" t="inlineStr">
        <is>
          <t>Month-over-month revenue growth</t>
        </is>
      </c>
      <c r="D15" s="37">
        <f>(C3-C2)/C2</f>
        <v/>
      </c>
    </row>
    <row r="16" ht="22" customHeight="1">
      <c r="A16" s="38" t="inlineStr">
        <is>
          <t>AVERAGE</t>
        </is>
      </c>
      <c r="B16" s="39">
        <f>AVERAGE(range)</f>
        <v/>
      </c>
      <c r="C16" s="40" t="inlineStr">
        <is>
          <t>Mean value of a range</t>
        </is>
      </c>
      <c r="D16" s="40">
        <f>AVERAGE(Q2:Q500)</f>
        <v/>
      </c>
    </row>
    <row r="17" ht="22" customHeight="1">
      <c r="A17" s="35" t="inlineStr">
        <is>
          <t>FORECAST</t>
        </is>
      </c>
      <c r="B17" s="36">
        <f>FORECAST.ETS(target,values,dates)</f>
        <v/>
      </c>
      <c r="C17" s="37" t="inlineStr">
        <is>
          <t>Predict future revenue using history</t>
        </is>
      </c>
      <c r="D17" s="37">
        <f>FORECAST.ETS(13,B2:B13,A2:A13)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U7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44" customHeight="1">
      <c r="A1" s="41" t="inlineStr">
        <is>
          <t>📊  SALES &amp; REVENUE GROWTH TRACKER DASHBOARD  |  2024</t>
        </is>
      </c>
    </row>
    <row r="2" ht="24" customHeight="1">
      <c r="A2" s="42" t="inlineStr">
        <is>
          <t>Real-Time Sales Analytics · Revenue · Profitability · Regional &amp; Category Performance</t>
        </is>
      </c>
    </row>
    <row r="3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</row>
    <row r="4" ht="26" customHeight="1">
      <c r="A4" s="44" t="inlineStr">
        <is>
          <t>TOTAL REVENUE</t>
        </is>
      </c>
      <c r="E4" s="45" t="inlineStr">
        <is>
          <t>TOTAL PROFIT</t>
        </is>
      </c>
      <c r="I4" s="46" t="inlineStr">
        <is>
          <t>TOTAL ORDERS</t>
        </is>
      </c>
      <c r="M4" s="47" t="inlineStr">
        <is>
          <t>UNITS SOLD</t>
        </is>
      </c>
      <c r="Q4" s="48" t="inlineStr">
        <is>
          <t>AVG ACHIEVEMENT</t>
        </is>
      </c>
      <c r="U4" s="43" t="n"/>
    </row>
    <row r="5" ht="40" customHeight="1">
      <c r="A5" s="49">
        <f>SUM(Cleaned_Data!K2:K658)</f>
        <v/>
      </c>
      <c r="E5" s="49">
        <f>SUM(Cleaned_Data!M2:M658)</f>
        <v/>
      </c>
      <c r="I5" s="50">
        <f>COUNTA(Cleaned_Data!A2:A658)</f>
        <v/>
      </c>
      <c r="M5" s="50">
        <f>SUM(Cleaned_Data!I2:I658)</f>
        <v/>
      </c>
      <c r="Q5" s="51">
        <f>AVERAGE(Cleaned_Data!Q2:Q658)</f>
        <v/>
      </c>
      <c r="U5" s="43" t="n"/>
    </row>
    <row r="6" ht="12" customHeight="1">
      <c r="A6" s="43" t="n"/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</row>
    <row r="7">
      <c r="A7" s="43" t="n"/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</row>
    <row r="8">
      <c r="A8" s="43" t="n"/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</row>
    <row r="9">
      <c r="A9" s="43" t="n"/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</row>
    <row r="10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</row>
    <row r="11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</row>
    <row r="12">
      <c r="A12" s="43" t="n"/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</row>
    <row r="13">
      <c r="A13" s="43" t="n"/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</row>
    <row r="14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</row>
    <row r="15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</row>
    <row r="1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</row>
    <row r="17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</row>
    <row r="1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</row>
    <row r="19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</row>
    <row r="21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</row>
    <row r="22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</row>
    <row r="23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</row>
    <row r="24">
      <c r="A24" s="43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</row>
    <row r="25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</row>
    <row r="26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</row>
    <row r="28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</row>
    <row r="29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</row>
    <row r="30">
      <c r="A30" s="43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</row>
    <row r="33">
      <c r="A33" s="43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</row>
    <row r="35">
      <c r="A35" s="43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</row>
    <row r="36">
      <c r="A36" s="43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</row>
    <row r="37">
      <c r="A37" s="43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</row>
    <row r="38">
      <c r="A38" s="43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</row>
    <row r="39">
      <c r="A39" s="43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</row>
    <row r="40">
      <c r="A40" s="43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</row>
    <row r="41">
      <c r="A41" s="43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</row>
    <row r="42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</row>
    <row r="43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</row>
    <row r="44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</row>
    <row r="45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</row>
    <row r="46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</row>
    <row r="47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</row>
    <row r="48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</row>
    <row r="49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</row>
    <row r="50">
      <c r="A50" s="43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</row>
    <row r="51">
      <c r="A51" s="43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</row>
    <row r="52">
      <c r="A52" s="43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</row>
    <row r="53">
      <c r="A53" s="43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</row>
    <row r="54">
      <c r="A54" s="43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</row>
    <row r="55">
      <c r="A55" s="43" t="inlineStr">
        <is>
          <t>Region</t>
        </is>
      </c>
      <c r="B55" s="43" t="inlineStr">
        <is>
          <t>Revenue</t>
        </is>
      </c>
      <c r="C55" s="43" t="inlineStr">
        <is>
          <t>Profit</t>
        </is>
      </c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</row>
    <row r="56">
      <c r="A56" s="43" t="inlineStr">
        <is>
          <t>North</t>
        </is>
      </c>
      <c r="B56" s="43">
        <f>SUMIF(Cleaned_Data!D:D,"North",Cleaned_Data!K:K)</f>
        <v/>
      </c>
      <c r="C56" s="43">
        <f>SUMIF(Cleaned_Data!D:D,"North",Cleaned_Data!M:M)</f>
        <v/>
      </c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</row>
    <row r="57">
      <c r="A57" s="43" t="inlineStr">
        <is>
          <t>South</t>
        </is>
      </c>
      <c r="B57" s="43">
        <f>SUMIF(Cleaned_Data!D:D,"South",Cleaned_Data!K:K)</f>
        <v/>
      </c>
      <c r="C57" s="43">
        <f>SUMIF(Cleaned_Data!D:D,"South",Cleaned_Data!M:M)</f>
        <v/>
      </c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</row>
    <row r="58">
      <c r="A58" s="43" t="inlineStr">
        <is>
          <t>East</t>
        </is>
      </c>
      <c r="B58" s="43">
        <f>SUMIF(Cleaned_Data!D:D,"East",Cleaned_Data!K:K)</f>
        <v/>
      </c>
      <c r="C58" s="43">
        <f>SUMIF(Cleaned_Data!D:D,"East",Cleaned_Data!M:M)</f>
        <v/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</row>
    <row r="59">
      <c r="A59" s="43" t="inlineStr">
        <is>
          <t>West</t>
        </is>
      </c>
      <c r="B59" s="43">
        <f>SUMIF(Cleaned_Data!D:D,"West",Cleaned_Data!K:K)</f>
        <v/>
      </c>
      <c r="C59" s="43">
        <f>SUMIF(Cleaned_Data!D:D,"West",Cleaned_Data!M:M)</f>
        <v/>
      </c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</row>
    <row r="62">
      <c r="A62" t="inlineStr">
        <is>
          <t>Category</t>
        </is>
      </c>
      <c r="B62" t="inlineStr">
        <is>
          <t>Revenue</t>
        </is>
      </c>
    </row>
    <row r="63">
      <c r="A63" t="inlineStr">
        <is>
          <t>Electronics</t>
        </is>
      </c>
      <c r="B63">
        <f>SUMIF(Cleaned_Data!G:G,"Electronics",Cleaned_Data!K:K)</f>
        <v/>
      </c>
    </row>
    <row r="64">
      <c r="A64" t="inlineStr">
        <is>
          <t>Furniture</t>
        </is>
      </c>
      <c r="B64">
        <f>SUMIF(Cleaned_Data!G:G,"Furniture",Cleaned_Data!K:K)</f>
        <v/>
      </c>
    </row>
    <row r="65">
      <c r="A65" t="inlineStr">
        <is>
          <t>Apparel</t>
        </is>
      </c>
      <c r="B65">
        <f>SUMIF(Cleaned_Data!G:G,"Apparel",Cleaned_Data!K:K)</f>
        <v/>
      </c>
    </row>
    <row r="66">
      <c r="A66" t="inlineStr">
        <is>
          <t>Software</t>
        </is>
      </c>
      <c r="B66">
        <f>SUMIF(Cleaned_Data!G:G,"Software",Cleaned_Data!K:K)</f>
        <v/>
      </c>
    </row>
    <row r="68">
      <c r="A68" t="inlineStr">
        <is>
          <t>Channel</t>
        </is>
      </c>
      <c r="B68" t="inlineStr">
        <is>
          <t>Revenue</t>
        </is>
      </c>
    </row>
    <row r="69">
      <c r="A69" t="inlineStr">
        <is>
          <t>Online</t>
        </is>
      </c>
      <c r="B69">
        <f>SUMIF(Cleaned_Data!O:O,"Online",Cleaned_Data!K:K)</f>
        <v/>
      </c>
    </row>
    <row r="70">
      <c r="A70" t="inlineStr">
        <is>
          <t>Offline</t>
        </is>
      </c>
      <c r="B70">
        <f>SUMIF(Cleaned_Data!O:O,"Offline",Cleaned_Data!K:K)</f>
        <v/>
      </c>
    </row>
  </sheetData>
  <mergeCells count="12">
    <mergeCell ref="M5:P5"/>
    <mergeCell ref="A5:D5"/>
    <mergeCell ref="M4:P4"/>
    <mergeCell ref="A2:U2"/>
    <mergeCell ref="Q4:T4"/>
    <mergeCell ref="A4:D4"/>
    <mergeCell ref="E4:H4"/>
    <mergeCell ref="I4:L4"/>
    <mergeCell ref="Q5:T5"/>
    <mergeCell ref="A1:U1"/>
    <mergeCell ref="E5:H5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52" t="inlineStr">
        <is>
          <t>Pivot Table &amp; Dashboard — Step-by-Step Guide</t>
        </is>
      </c>
    </row>
    <row r="2" ht="28" customHeight="1">
      <c r="A2" s="26" t="inlineStr">
        <is>
          <t>Pivot Table Name</t>
        </is>
      </c>
      <c r="B2" s="26" t="inlineStr">
        <is>
          <t>Rows Field</t>
        </is>
      </c>
      <c r="C2" s="26" t="inlineStr">
        <is>
          <t>Columns Field</t>
        </is>
      </c>
      <c r="D2" s="26" t="inlineStr">
        <is>
          <t>Values Field</t>
        </is>
      </c>
      <c r="E2" s="26" t="inlineStr">
        <is>
          <t>Filter/Slicer</t>
        </is>
      </c>
    </row>
    <row r="3" ht="22" customHeight="1">
      <c r="A3" s="53" t="inlineStr">
        <is>
          <t>Revenue by Region</t>
        </is>
      </c>
      <c r="B3" s="54" t="inlineStr">
        <is>
          <t>Region</t>
        </is>
      </c>
      <c r="C3" s="54" t="inlineStr">
        <is>
          <t>—</t>
        </is>
      </c>
      <c r="D3" s="54" t="inlineStr">
        <is>
          <t>Revenue (Sum)</t>
        </is>
      </c>
      <c r="E3" s="54" t="inlineStr">
        <is>
          <t>Month, Channel</t>
        </is>
      </c>
    </row>
    <row r="4" ht="22" customHeight="1">
      <c r="A4" s="55" t="inlineStr">
        <is>
          <t>Revenue by Category</t>
        </is>
      </c>
      <c r="B4" s="56" t="inlineStr">
        <is>
          <t>Product Category</t>
        </is>
      </c>
      <c r="C4" s="56" t="inlineStr">
        <is>
          <t>—</t>
        </is>
      </c>
      <c r="D4" s="56" t="inlineStr">
        <is>
          <t>Revenue (Sum)</t>
        </is>
      </c>
      <c r="E4" s="56" t="inlineStr">
        <is>
          <t>Region, Month</t>
        </is>
      </c>
    </row>
    <row r="5" ht="22" customHeight="1">
      <c r="A5" s="53" t="inlineStr">
        <is>
          <t>Sales by Executive</t>
        </is>
      </c>
      <c r="B5" s="54" t="inlineStr">
        <is>
          <t>Sales Executive</t>
        </is>
      </c>
      <c r="C5" s="54" t="inlineStr">
        <is>
          <t>—</t>
        </is>
      </c>
      <c r="D5" s="54" t="inlineStr">
        <is>
          <t>Revenue (Sum)</t>
        </is>
      </c>
      <c r="E5" s="54" t="inlineStr">
        <is>
          <t>Region, Category</t>
        </is>
      </c>
    </row>
    <row r="6" ht="22" customHeight="1">
      <c r="A6" s="55" t="inlineStr">
        <is>
          <t>Monthly Revenue Trend</t>
        </is>
      </c>
      <c r="B6" s="56" t="inlineStr">
        <is>
          <t>Month</t>
        </is>
      </c>
      <c r="C6" s="56" t="inlineStr">
        <is>
          <t>—</t>
        </is>
      </c>
      <c r="D6" s="56" t="inlineStr">
        <is>
          <t>Revenue (Sum)</t>
        </is>
      </c>
      <c r="E6" s="56" t="inlineStr">
        <is>
          <t>Region, Category</t>
        </is>
      </c>
    </row>
    <row r="7" ht="22" customHeight="1">
      <c r="A7" s="53" t="inlineStr">
        <is>
          <t>Channel-wise Performance</t>
        </is>
      </c>
      <c r="B7" s="54" t="inlineStr">
        <is>
          <t>Sales Channel</t>
        </is>
      </c>
      <c r="C7" s="54" t="inlineStr">
        <is>
          <t>—</t>
        </is>
      </c>
      <c r="D7" s="54" t="inlineStr">
        <is>
          <t>Revenue (Sum)</t>
        </is>
      </c>
      <c r="E7" s="54" t="inlineStr">
        <is>
          <t>Region, Month</t>
        </is>
      </c>
    </row>
    <row r="8" ht="22" customHeight="1">
      <c r="A8" s="55" t="inlineStr">
        <is>
          <t>Customer Type Analysis</t>
        </is>
      </c>
      <c r="B8" s="56" t="inlineStr">
        <is>
          <t>Customer Type</t>
        </is>
      </c>
      <c r="C8" s="56" t="inlineStr">
        <is>
          <t>—</t>
        </is>
      </c>
      <c r="D8" s="56" t="inlineStr">
        <is>
          <t>Revenue (Sum)</t>
        </is>
      </c>
      <c r="E8" s="56" t="inlineStr">
        <is>
          <t>Region, Category</t>
        </is>
      </c>
    </row>
    <row r="9" ht="22" customHeight="1">
      <c r="A9" s="53" t="inlineStr">
        <is>
          <t>Product Profitability</t>
        </is>
      </c>
      <c r="B9" s="54" t="inlineStr">
        <is>
          <t>Product Name</t>
        </is>
      </c>
      <c r="C9" s="54" t="inlineStr">
        <is>
          <t>—</t>
        </is>
      </c>
      <c r="D9" s="54" t="inlineStr">
        <is>
          <t>Profit (Sum)</t>
        </is>
      </c>
      <c r="E9" s="54" t="inlineStr">
        <is>
          <t>Category, Region</t>
        </is>
      </c>
    </row>
    <row r="10" ht="22" customHeight="1">
      <c r="A10" s="55" t="inlineStr">
        <is>
          <t>Target vs Achievement</t>
        </is>
      </c>
      <c r="B10" s="56" t="inlineStr">
        <is>
          <t>Sales Executive</t>
        </is>
      </c>
      <c r="C10" s="56" t="inlineStr">
        <is>
          <t>Month</t>
        </is>
      </c>
      <c r="D10" s="56" t="inlineStr">
        <is>
          <t>Achievement %</t>
        </is>
      </c>
      <c r="E10" s="56" t="inlineStr">
        <is>
          <t>Region</t>
        </is>
      </c>
    </row>
    <row r="14" ht="28" customHeight="1">
      <c r="A14" s="57" t="inlineStr">
        <is>
          <t>HOW TO CREATE A PIVOT TABLE</t>
        </is>
      </c>
    </row>
    <row r="15" ht="22" customHeight="1">
      <c r="A15" s="58" t="inlineStr">
        <is>
          <t>1. Click anywhere in the Cleaned_Data sheet.</t>
        </is>
      </c>
    </row>
    <row r="16" ht="22" customHeight="1">
      <c r="A16" s="59" t="inlineStr">
        <is>
          <t>2. Go to Insert tab → Click 'PivotTable'.</t>
        </is>
      </c>
    </row>
    <row r="17" ht="22" customHeight="1">
      <c r="A17" s="58" t="inlineStr">
        <is>
          <t>3. Select 'New Worksheet' and click OK.</t>
        </is>
      </c>
    </row>
    <row r="18" ht="22" customHeight="1">
      <c r="A18" s="59" t="inlineStr">
        <is>
          <t>4. Drag fields from PivotTable Field List (see table above for which fields go where).</t>
        </is>
      </c>
    </row>
    <row r="19" ht="22" customHeight="1">
      <c r="A19" s="58" t="inlineStr">
        <is>
          <t>5. Right-click on Pivot → 'Insert Slicer' to add interactive filters.</t>
        </is>
      </c>
    </row>
    <row r="20" ht="22" customHeight="1">
      <c r="A20" s="59" t="inlineStr">
        <is>
          <t>6. From the PivotTable, go to Insert → Chart to create a PivotChart.</t>
        </is>
      </c>
    </row>
    <row r="21" ht="22" customHeight="1">
      <c r="A21" s="58" t="inlineStr">
        <is>
          <t>7. Copy the chart and paste it on the Dashboard sheet.</t>
        </is>
      </c>
    </row>
    <row r="22" ht="22" customHeight="1">
      <c r="A22" s="59" t="inlineStr">
        <is>
          <t>8. Connect all slicers to multiple charts using 'Report Connections'.</t>
        </is>
      </c>
    </row>
  </sheetData>
  <mergeCells count="10">
    <mergeCell ref="A21:E21"/>
    <mergeCell ref="A20:E20"/>
    <mergeCell ref="A16:E16"/>
    <mergeCell ref="A15:E15"/>
    <mergeCell ref="A19:E19"/>
    <mergeCell ref="A1:E1"/>
    <mergeCell ref="A14:E14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2026-04-13T13:30:27Z</dcterms:created>
  <dcterms:modified xmlns:dcterms="http://purl.org/dc/terms/" xmlns:xsi="http://www.w3.org/2001/XMLSchema-instance" xsi:type="dcterms:W3CDTF">2026-04-13T13:30:31Z</dcterms:modified>
</cp:coreProperties>
</file>